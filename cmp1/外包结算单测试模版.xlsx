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工程结算金额" sheetId="2" r:id="rId1"/>
    <sheet name="搬运结算金额" sheetId="3" r:id="rId2"/>
  </sheets>
  <definedNames>
    <definedName name="_xlnm._FilterDatabase" localSheetId="0" hidden="1">工程结算金额!$A$8:$U$21</definedName>
    <definedName name="_xlnm._FilterDatabase" localSheetId="1" hidden="1">搬运结算金额!#REF!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<sst xmlns="http://schemas.openxmlformats.org/spreadsheetml/2006/main" count="169" uniqueCount="88">
  <si>
    <t xml:space="preserve">                 2026年2月四川元皓通通信工程有限公司施工结算单</t>
  </si>
  <si>
    <t>发包方（甲方）</t>
  </si>
  <si>
    <t>四川元皓通通信工程有限公司</t>
  </si>
  <si>
    <t>承包方（乙方）</t>
  </si>
  <si>
    <t>姚正彪</t>
  </si>
  <si>
    <t>项目名称</t>
  </si>
  <si>
    <t>中国铁塔股份有限司云南省分公司2024-2025年土建+杆塔-红河州</t>
  </si>
  <si>
    <t>施工区域</t>
  </si>
  <si>
    <t>红河州</t>
  </si>
  <si>
    <r>
      <rPr>
        <b/>
        <sz val="10"/>
        <color rgb="FF000000"/>
        <rFont val="宋体"/>
        <charset val="134"/>
      </rPr>
      <t xml:space="preserve">                          </t>
    </r>
    <r>
      <rPr>
        <b/>
        <sz val="10"/>
        <color rgb="FF000000"/>
        <rFont val="宋体"/>
        <charset val="134"/>
      </rPr>
      <t>工程完工结算明细</t>
    </r>
  </si>
  <si>
    <t>台账</t>
  </si>
  <si>
    <t>施工量</t>
  </si>
  <si>
    <t>铁塔结算单价（每项工程量*单价合计）</t>
  </si>
  <si>
    <t>铁塔结算金额</t>
  </si>
  <si>
    <t>（每项工程量*单价合计）*结算比例</t>
  </si>
  <si>
    <t>外包结算金额</t>
  </si>
  <si>
    <t>第一次外包结算金额+...+第N次外包结算金额</t>
  </si>
  <si>
    <t>审核完填入台账</t>
  </si>
  <si>
    <t>钉钉编号</t>
  </si>
  <si>
    <t>站点名称</t>
  </si>
  <si>
    <t>区域</t>
  </si>
  <si>
    <t>施工日期</t>
  </si>
  <si>
    <t>施工内容</t>
  </si>
  <si>
    <t>单项结算金额单价</t>
  </si>
  <si>
    <t>单项结算金额</t>
  </si>
  <si>
    <t>工程结算金额31%</t>
  </si>
  <si>
    <t>外包结算比例</t>
  </si>
  <si>
    <t>外包结算单价</t>
  </si>
  <si>
    <t>外包结算金额31%</t>
  </si>
  <si>
    <t>本次外包结算比例</t>
  </si>
  <si>
    <t>本次外包结算金额</t>
  </si>
  <si>
    <t>外包已结算金额</t>
  </si>
  <si>
    <t>外包结算剩余金额</t>
  </si>
  <si>
    <t>利润率比例</t>
  </si>
  <si>
    <t>外包请款日期</t>
  </si>
  <si>
    <t>备注</t>
  </si>
  <si>
    <t>202601301615000054554</t>
  </si>
  <si>
    <t>河口县南溪戈浩山庄(700)-5ZHN</t>
  </si>
  <si>
    <t>河口</t>
  </si>
  <si>
    <t>独立基础、筏板基础（各类土）</t>
  </si>
  <si>
    <t>一体化机柜基础</t>
  </si>
  <si>
    <t>接地母线</t>
  </si>
  <si>
    <t>接地极</t>
  </si>
  <si>
    <t>一次性进场和调遣费-100-200km(含)</t>
  </si>
  <si>
    <t>202602012153000078525</t>
  </si>
  <si>
    <t>屏边县玉屏镇大份子村委会期科伍</t>
  </si>
  <si>
    <t>屏边</t>
  </si>
  <si>
    <t>独立基础、筏板基础（土+各类岩石）</t>
  </si>
  <si>
    <t>一次性进场和调遣费-35-100km(含)</t>
  </si>
  <si>
    <r>
      <rPr>
        <sz val="9"/>
        <color rgb="FF000000"/>
        <rFont val="宋体"/>
        <charset val="134"/>
      </rPr>
      <t xml:space="preserve">合 </t>
    </r>
    <r>
      <rPr>
        <sz val="9"/>
        <color rgb="FF000000"/>
        <rFont val="宋体"/>
        <charset val="134"/>
      </rPr>
      <t xml:space="preserve">   </t>
    </r>
    <r>
      <rPr>
        <sz val="9"/>
        <color rgb="FF000000"/>
        <rFont val="宋体"/>
        <charset val="134"/>
      </rPr>
      <t>计</t>
    </r>
  </si>
  <si>
    <t>发包方项目经理签字：</t>
  </si>
  <si>
    <t>承包方签字：</t>
  </si>
  <si>
    <t>结算人员签字：</t>
  </si>
  <si>
    <t>总经理签字：</t>
  </si>
  <si>
    <t>财务部签字：</t>
  </si>
  <si>
    <t>日期：</t>
  </si>
  <si>
    <t>项目经理提供</t>
  </si>
  <si>
    <t>甲方价目表施工内容单价</t>
  </si>
  <si>
    <t xml:space="preserve"> =施工量*单项结算金额</t>
  </si>
  <si>
    <t xml:space="preserve"> =单项结算金额*0.69</t>
  </si>
  <si>
    <t>签订合同比列</t>
  </si>
  <si>
    <t>=单项结算单价*外包结算比列</t>
  </si>
  <si>
    <t>=施工量*外包结算单价</t>
  </si>
  <si>
    <t>=外包结算金额*0.31</t>
  </si>
  <si>
    <t>根据工程进度和合同定</t>
  </si>
  <si>
    <t>=外包结算金额3是%*本次外包结算比列</t>
  </si>
  <si>
    <t>项目台账获取</t>
  </si>
  <si>
    <t>=外包结算金额31%-本次外包结算金额-外包已结算金额</t>
  </si>
  <si>
    <t>=（工程结算金额31%-外包结算金额31%）/工程结算金额31%</t>
  </si>
  <si>
    <t xml:space="preserve">                 2026年2月云南元皓通信工程有限公司施工结算单</t>
  </si>
  <si>
    <t>云南元皓通信工程有限公司</t>
  </si>
  <si>
    <t>装卸搬运总金额</t>
  </si>
  <si>
    <t>外包结算金额69%</t>
  </si>
  <si>
    <t>2026/126</t>
  </si>
  <si>
    <t>装卸搬运服务</t>
  </si>
  <si>
    <t>=工程结算金额表中钉钉编号</t>
  </si>
  <si>
    <t>=工程结算金额表中站点名称</t>
  </si>
  <si>
    <t>=工程结算金额表中区域</t>
  </si>
  <si>
    <t>=工程结算金额表中施工日期</t>
  </si>
  <si>
    <t>=工程结算金额表中施工内容</t>
  </si>
  <si>
    <t>1</t>
  </si>
  <si>
    <t>=工程结算金额表中同一钉钉编号单项结算金额合计</t>
  </si>
  <si>
    <t>=单项结算金额*0.69</t>
  </si>
  <si>
    <t>=工程结算金额表中同一钉钉编号外包结算金额合计</t>
  </si>
  <si>
    <t>=外包结算单价*0.69</t>
  </si>
  <si>
    <t>外包结算金额69%*本次外包结算比列</t>
  </si>
  <si>
    <t>台账中获取</t>
  </si>
  <si>
    <t>=外包结算金额69%-本次外包结算金额-外包已结算金额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</si>
</sst>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10804]General"/>
    <numFmt numFmtId="177" formatCode="0.00_);[Red]\(0.00\)"/>
    <numFmt numFmtId="178" formatCode="0.00_ "/>
    <numFmt numFmtId="179" formatCode="yyyy/m/d;@"/>
  </numFmts>
  <fonts count="31">
    <font>
      <sz val="11"/>
      <color theme="1"/>
      <name val="宋体"/>
      <charset val="134"/>
      <scheme val="minor"/>
    </font>
    <font>
      <b/>
      <sz val="14"/>
      <color rgb="FF000000"/>
      <name val="宋体"/>
      <charset val="134"/>
    </font>
    <font>
      <b/>
      <sz val="10"/>
      <color rgb="FF000000"/>
      <name val="宋体"/>
      <charset val="134"/>
    </font>
    <font>
      <sz val="9"/>
      <color theme="1"/>
      <name val="宋体"/>
      <charset val="134"/>
      <scheme val="minor"/>
    </font>
    <font>
      <sz val="9"/>
      <color theme="1"/>
      <name val="宋体"/>
      <charset val="134"/>
    </font>
    <font>
      <sz val="9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sz val="10"/>
      <color rgb="FF000000"/>
      <name val="宋体"/>
      <charset val="134"/>
    </font>
    <font>
      <b/>
      <sz val="9"/>
      <name val="宋体"/>
      <charset val="134"/>
      <scheme val="minor"/>
    </font>
    <font>
      <b/>
      <sz val="10"/>
      <name val="宋体"/>
      <charset val="134"/>
    </font>
    <font>
      <b/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14" applyNumberFormat="0" applyAlignment="0" applyProtection="0">
      <alignment vertical="center"/>
    </xf>
    <xf numFmtId="0" fontId="21" fillId="5" borderId="15" applyNumberFormat="0" applyAlignment="0" applyProtection="0">
      <alignment vertical="center"/>
    </xf>
    <xf numFmtId="0" fontId="22" fillId="5" borderId="14" applyNumberFormat="0" applyAlignment="0" applyProtection="0">
      <alignment vertical="center"/>
    </xf>
    <xf numFmtId="0" fontId="23" fillId="6" borderId="16" applyNumberFormat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176" fontId="0" fillId="0" borderId="0" xfId="0" applyNumberFormat="1" applyFont="1" applyFill="1" applyBorder="1" applyAlignment="1"/>
    <xf numFmtId="49" fontId="0" fillId="0" borderId="0" xfId="0" applyNumberFormat="1" applyFill="1" applyAlignment="1">
      <alignment vertical="center" wrapText="1"/>
    </xf>
    <xf numFmtId="0" fontId="0" fillId="0" borderId="0" xfId="0" applyFill="1">
      <alignment vertical="center"/>
    </xf>
    <xf numFmtId="177" fontId="0" fillId="0" borderId="0" xfId="0" applyNumberFormat="1" applyFill="1">
      <alignment vertical="center"/>
    </xf>
    <xf numFmtId="178" fontId="0" fillId="0" borderId="0" xfId="0" applyNumberFormat="1" applyFill="1">
      <alignment vertical="center"/>
    </xf>
    <xf numFmtId="176" fontId="1" fillId="0" borderId="1" xfId="0" applyNumberFormat="1" applyFont="1" applyFill="1" applyBorder="1" applyAlignment="1">
      <alignment horizontal="center" vertical="center" wrapText="1"/>
    </xf>
    <xf numFmtId="177" fontId="1" fillId="0" borderId="1" xfId="0" applyNumberFormat="1" applyFont="1" applyFill="1" applyBorder="1" applyAlignment="1">
      <alignment horizontal="center" vertical="center" wrapText="1"/>
    </xf>
    <xf numFmtId="178" fontId="1" fillId="0" borderId="1" xfId="0" applyNumberFormat="1" applyFont="1" applyFill="1" applyBorder="1" applyAlignment="1">
      <alignment horizontal="center" vertical="center" wrapText="1"/>
    </xf>
    <xf numFmtId="176" fontId="2" fillId="0" borderId="2" xfId="0" applyNumberFormat="1" applyFont="1" applyFill="1" applyBorder="1" applyAlignment="1">
      <alignment horizontal="left" vertical="center"/>
    </xf>
    <xf numFmtId="176" fontId="2" fillId="0" borderId="3" xfId="0" applyNumberFormat="1" applyFont="1" applyFill="1" applyBorder="1" applyAlignment="1">
      <alignment horizontal="left" vertical="center"/>
    </xf>
    <xf numFmtId="176" fontId="2" fillId="0" borderId="1" xfId="0" applyNumberFormat="1" applyFont="1" applyFill="1" applyBorder="1" applyAlignment="1">
      <alignment horizontal="center" vertical="center" wrapText="1"/>
    </xf>
    <xf numFmtId="177" fontId="2" fillId="0" borderId="1" xfId="0" applyNumberFormat="1" applyFont="1" applyFill="1" applyBorder="1" applyAlignment="1">
      <alignment horizontal="center" vertical="center" wrapText="1"/>
    </xf>
    <xf numFmtId="178" fontId="2" fillId="0" borderId="1" xfId="0" applyNumberFormat="1" applyFont="1" applyFill="1" applyBorder="1" applyAlignment="1">
      <alignment horizontal="center" vertical="center" wrapText="1"/>
    </xf>
    <xf numFmtId="176" fontId="2" fillId="0" borderId="2" xfId="0" applyNumberFormat="1" applyFont="1" applyFill="1" applyBorder="1" applyAlignment="1">
      <alignment horizontal="left" vertical="center" wrapText="1"/>
    </xf>
    <xf numFmtId="176" fontId="2" fillId="0" borderId="3" xfId="0" applyNumberFormat="1" applyFont="1" applyFill="1" applyBorder="1" applyAlignment="1">
      <alignment horizontal="left" vertical="center" wrapText="1"/>
    </xf>
    <xf numFmtId="176" fontId="2" fillId="0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 wrapText="1"/>
    </xf>
    <xf numFmtId="9" fontId="2" fillId="0" borderId="4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9" fontId="4" fillId="0" borderId="1" xfId="0" applyNumberFormat="1" applyFont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178" fontId="4" fillId="0" borderId="1" xfId="0" applyNumberFormat="1" applyFont="1" applyFill="1" applyBorder="1" applyAlignment="1">
      <alignment horizontal="center" vertical="center" wrapText="1"/>
    </xf>
    <xf numFmtId="177" fontId="3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9" fontId="6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77" fontId="7" fillId="0" borderId="1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Fill="1" applyBorder="1" applyAlignment="1">
      <alignment horizontal="center" wrapText="1"/>
    </xf>
    <xf numFmtId="177" fontId="7" fillId="0" borderId="1" xfId="0" applyNumberFormat="1" applyFont="1" applyFill="1" applyBorder="1" applyAlignment="1">
      <alignment horizontal="center"/>
    </xf>
    <xf numFmtId="178" fontId="7" fillId="0" borderId="1" xfId="0" applyNumberFormat="1" applyFont="1" applyFill="1" applyBorder="1" applyAlignment="1">
      <alignment horizontal="center" vertical="center" wrapText="1"/>
    </xf>
    <xf numFmtId="9" fontId="7" fillId="0" borderId="1" xfId="0" applyNumberFormat="1" applyFont="1" applyFill="1" applyBorder="1" applyAlignment="1">
      <alignment horizontal="center" wrapText="1"/>
    </xf>
    <xf numFmtId="176" fontId="8" fillId="0" borderId="0" xfId="0" applyNumberFormat="1" applyFont="1" applyFill="1" applyBorder="1" applyAlignment="1">
      <alignment horizontal="left" vertical="center"/>
    </xf>
    <xf numFmtId="176" fontId="8" fillId="0" borderId="0" xfId="0" applyNumberFormat="1" applyFont="1" applyFill="1" applyAlignment="1">
      <alignment horizontal="left" vertical="center" wrapText="1"/>
    </xf>
    <xf numFmtId="176" fontId="8" fillId="0" borderId="0" xfId="0" applyNumberFormat="1" applyFont="1" applyFill="1" applyAlignment="1">
      <alignment horizontal="left" vertical="center"/>
    </xf>
    <xf numFmtId="177" fontId="8" fillId="0" borderId="0" xfId="0" applyNumberFormat="1" applyFont="1" applyFill="1" applyAlignment="1">
      <alignment horizontal="left" vertical="center"/>
    </xf>
    <xf numFmtId="178" fontId="8" fillId="0" borderId="0" xfId="0" applyNumberFormat="1" applyFont="1" applyFill="1" applyAlignment="1">
      <alignment horizontal="left" vertical="center" wrapText="1"/>
    </xf>
    <xf numFmtId="176" fontId="8" fillId="0" borderId="0" xfId="0" applyNumberFormat="1" applyFont="1" applyFill="1" applyBorder="1" applyAlignment="1">
      <alignment horizontal="left" vertical="center" wrapText="1"/>
    </xf>
    <xf numFmtId="178" fontId="8" fillId="0" borderId="0" xfId="0" applyNumberFormat="1" applyFont="1" applyFill="1" applyAlignment="1">
      <alignment horizontal="left" vertical="center"/>
    </xf>
    <xf numFmtId="49" fontId="0" fillId="0" borderId="1" xfId="0" applyNumberForma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 wrapText="1"/>
    </xf>
    <xf numFmtId="176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/>
    <xf numFmtId="9" fontId="0" fillId="0" borderId="0" xfId="0" applyNumberFormat="1" applyFont="1" applyFill="1" applyBorder="1" applyAlignment="1"/>
    <xf numFmtId="178" fontId="0" fillId="0" borderId="0" xfId="0" applyNumberFormat="1" applyFont="1" applyFill="1" applyBorder="1" applyAlignment="1"/>
    <xf numFmtId="0" fontId="1" fillId="0" borderId="1" xfId="0" applyNumberFormat="1" applyFont="1" applyFill="1" applyBorder="1" applyAlignment="1">
      <alignment horizontal="center" vertical="center" wrapText="1"/>
    </xf>
    <xf numFmtId="9" fontId="1" fillId="0" borderId="1" xfId="0" applyNumberFormat="1" applyFont="1" applyFill="1" applyBorder="1" applyAlignment="1">
      <alignment horizontal="center" vertical="center" wrapText="1"/>
    </xf>
    <xf numFmtId="176" fontId="2" fillId="0" borderId="2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9" fontId="2" fillId="0" borderId="5" xfId="0" applyNumberFormat="1" applyFont="1" applyFill="1" applyBorder="1" applyAlignment="1">
      <alignment horizontal="center" vertical="center" wrapText="1"/>
    </xf>
    <xf numFmtId="178" fontId="2" fillId="0" borderId="5" xfId="0" applyNumberFormat="1" applyFont="1" applyFill="1" applyBorder="1" applyAlignment="1">
      <alignment horizontal="center" vertical="center" wrapText="1"/>
    </xf>
    <xf numFmtId="176" fontId="2" fillId="0" borderId="3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176" fontId="2" fillId="2" borderId="6" xfId="0" applyNumberFormat="1" applyFont="1" applyFill="1" applyBorder="1" applyAlignment="1">
      <alignment horizontal="center" vertical="center" wrapText="1"/>
    </xf>
    <xf numFmtId="176" fontId="2" fillId="2" borderId="7" xfId="0" applyNumberFormat="1" applyFont="1" applyFill="1" applyBorder="1" applyAlignment="1">
      <alignment horizontal="center" vertical="center" wrapText="1"/>
    </xf>
    <xf numFmtId="176" fontId="2" fillId="2" borderId="8" xfId="0" applyNumberFormat="1" applyFont="1" applyFill="1" applyBorder="1" applyAlignment="1">
      <alignment horizontal="center" vertical="center" wrapText="1"/>
    </xf>
    <xf numFmtId="0" fontId="2" fillId="2" borderId="4" xfId="0" applyNumberFormat="1" applyFont="1" applyFill="1" applyBorder="1" applyAlignment="1">
      <alignment horizontal="center" vertical="center" wrapText="1"/>
    </xf>
    <xf numFmtId="178" fontId="9" fillId="2" borderId="1" xfId="0" applyNumberFormat="1" applyFont="1" applyFill="1" applyBorder="1" applyAlignment="1">
      <alignment horizontal="center" vertical="center" wrapText="1"/>
    </xf>
    <xf numFmtId="176" fontId="2" fillId="2" borderId="4" xfId="0" applyNumberFormat="1" applyFont="1" applyFill="1" applyBorder="1" applyAlignment="1">
      <alignment horizontal="center" vertical="center" wrapText="1"/>
    </xf>
    <xf numFmtId="9" fontId="2" fillId="2" borderId="4" xfId="0" applyNumberFormat="1" applyFont="1" applyFill="1" applyBorder="1" applyAlignment="1">
      <alignment horizontal="center" vertical="center" wrapText="1"/>
    </xf>
    <xf numFmtId="178" fontId="2" fillId="2" borderId="4" xfId="0" applyNumberFormat="1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/>
    </xf>
    <xf numFmtId="0" fontId="2" fillId="0" borderId="4" xfId="0" applyNumberFormat="1" applyFont="1" applyFill="1" applyBorder="1" applyAlignment="1">
      <alignment horizontal="center" vertical="center" wrapText="1"/>
    </xf>
    <xf numFmtId="176" fontId="10" fillId="0" borderId="4" xfId="0" applyNumberFormat="1" applyFont="1" applyFill="1" applyBorder="1" applyAlignment="1">
      <alignment horizontal="center" vertical="center" wrapText="1"/>
    </xf>
    <xf numFmtId="176" fontId="11" fillId="0" borderId="4" xfId="0" applyNumberFormat="1" applyFont="1" applyFill="1" applyBorder="1" applyAlignment="1">
      <alignment horizontal="center" vertical="center" wrapText="1"/>
    </xf>
    <xf numFmtId="9" fontId="11" fillId="0" borderId="4" xfId="0" applyNumberFormat="1" applyFont="1" applyFill="1" applyBorder="1" applyAlignment="1">
      <alignment horizontal="center" vertical="center" wrapText="1"/>
    </xf>
    <xf numFmtId="178" fontId="2" fillId="0" borderId="4" xfId="0" applyNumberFormat="1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4" fillId="0" borderId="9" xfId="0" applyNumberFormat="1" applyFont="1" applyFill="1" applyBorder="1" applyAlignment="1">
      <alignment horizontal="center" vertical="center" wrapText="1"/>
    </xf>
    <xf numFmtId="179" fontId="5" fillId="0" borderId="9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4" fillId="0" borderId="10" xfId="0" applyNumberFormat="1" applyFont="1" applyFill="1" applyBorder="1" applyAlignment="1">
      <alignment horizontal="center" vertical="center" wrapText="1"/>
    </xf>
    <xf numFmtId="179" fontId="5" fillId="0" borderId="10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wrapText="1"/>
    </xf>
    <xf numFmtId="9" fontId="7" fillId="0" borderId="1" xfId="0" applyNumberFormat="1" applyFont="1" applyFill="1" applyBorder="1" applyAlignment="1">
      <alignment horizontal="center" vertical="center" wrapText="1"/>
    </xf>
    <xf numFmtId="0" fontId="8" fillId="0" borderId="0" xfId="0" applyNumberFormat="1" applyFont="1" applyFill="1" applyBorder="1" applyAlignment="1">
      <alignment horizontal="left" vertical="center"/>
    </xf>
    <xf numFmtId="9" fontId="0" fillId="0" borderId="0" xfId="0" applyNumberFormat="1" applyFont="1" applyFill="1" applyAlignment="1"/>
    <xf numFmtId="176" fontId="8" fillId="0" borderId="0" xfId="0" applyNumberFormat="1" applyFont="1" applyFill="1" applyAlignment="1">
      <alignment vertical="center"/>
    </xf>
    <xf numFmtId="0" fontId="8" fillId="0" borderId="0" xfId="0" applyNumberFormat="1" applyFont="1" applyFill="1" applyBorder="1" applyAlignment="1">
      <alignment horizontal="left" vertical="center" wrapText="1"/>
    </xf>
    <xf numFmtId="176" fontId="10" fillId="0" borderId="1" xfId="0" applyNumberFormat="1" applyFont="1" applyFill="1" applyBorder="1" applyAlignment="1">
      <alignment horizontal="center" vertical="center" wrapText="1"/>
    </xf>
    <xf numFmtId="176" fontId="11" fillId="0" borderId="1" xfId="0" applyNumberFormat="1" applyFont="1" applyFill="1" applyBorder="1" applyAlignment="1">
      <alignment horizontal="center" vertical="center" wrapText="1"/>
    </xf>
    <xf numFmtId="9" fontId="11" fillId="0" borderId="1" xfId="0" applyNumberFormat="1" applyFont="1" applyFill="1" applyBorder="1" applyAlignment="1">
      <alignment horizontal="center" vertical="center" wrapText="1"/>
    </xf>
    <xf numFmtId="176" fontId="0" fillId="0" borderId="1" xfId="0" applyNumberFormat="1" applyFont="1" applyFill="1" applyBorder="1" applyAlignment="1">
      <alignment wrapText="1"/>
    </xf>
    <xf numFmtId="49" fontId="0" fillId="0" borderId="1" xfId="0" applyNumberFormat="1" applyFont="1" applyFill="1" applyBorder="1" applyAlignment="1">
      <alignment wrapText="1"/>
    </xf>
    <xf numFmtId="176" fontId="0" fillId="0" borderId="1" xfId="0" applyNumberFormat="1" applyFont="1" applyFill="1" applyBorder="1" applyAlignment="1"/>
    <xf numFmtId="0" fontId="3" fillId="0" borderId="9" xfId="0" applyFont="1" applyFill="1" applyBorder="1" applyAlignment="1" quotePrefix="1">
      <alignment horizontal="center" vertical="center" wrapText="1"/>
    </xf>
    <xf numFmtId="0" fontId="3" fillId="0" borderId="1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39"/>
  <sheetViews>
    <sheetView tabSelected="1" workbookViewId="0">
      <pane ySplit="8" topLeftCell="A9" activePane="bottomLeft" state="frozen"/>
      <selection/>
      <selection pane="bottomLeft" activeCell="B25" sqref="B25"/>
    </sheetView>
  </sheetViews>
  <sheetFormatPr defaultColWidth="9" defaultRowHeight="13.5"/>
  <cols>
    <col min="1" max="1" width="11.9833333333333" style="1" customWidth="1"/>
    <col min="2" max="2" width="36.125" style="1" customWidth="1"/>
    <col min="3" max="3" width="5" style="1" customWidth="1"/>
    <col min="4" max="4" width="9.65833333333333" style="1" customWidth="1"/>
    <col min="5" max="5" width="28.1916666666667" style="1" customWidth="1"/>
    <col min="6" max="6" width="6.99166666666667" style="46" customWidth="1"/>
    <col min="7" max="7" width="8.88333333333333" style="1" customWidth="1"/>
    <col min="8" max="9" width="9.45" style="1" customWidth="1"/>
    <col min="10" max="10" width="9.375" style="47" customWidth="1"/>
    <col min="11" max="11" width="8.55833333333333" style="1" customWidth="1"/>
    <col min="12" max="12" width="10.325" style="1" customWidth="1"/>
    <col min="13" max="13" width="9.45" style="1" customWidth="1"/>
    <col min="14" max="14" width="10.55" style="1" customWidth="1"/>
    <col min="15" max="15" width="9.45" style="48" customWidth="1"/>
    <col min="16" max="16" width="10.1" style="48" customWidth="1"/>
    <col min="17" max="17" width="8.88333333333333" style="48" customWidth="1"/>
    <col min="18" max="19" width="6.76666666666667" style="1" customWidth="1"/>
    <col min="20" max="20" width="6.325" style="1" customWidth="1"/>
    <col min="21" max="21" width="35" style="1" customWidth="1"/>
    <col min="22" max="16384" width="9" style="1"/>
  </cols>
  <sheetData>
    <row r="1" s="1" customFormat="1" ht="20" customHeight="1" spans="1:20">
      <c r="A1" s="6" t="s">
        <v>0</v>
      </c>
      <c r="B1" s="6"/>
      <c r="C1" s="6"/>
      <c r="D1" s="6"/>
      <c r="E1" s="6"/>
      <c r="F1" s="49"/>
      <c r="G1" s="6"/>
      <c r="H1" s="6"/>
      <c r="I1" s="6"/>
      <c r="J1" s="50"/>
      <c r="K1" s="6"/>
      <c r="L1" s="6"/>
      <c r="M1" s="6"/>
      <c r="N1" s="6"/>
      <c r="O1" s="8"/>
      <c r="P1" s="8"/>
      <c r="Q1" s="8"/>
      <c r="R1" s="6"/>
      <c r="S1" s="6"/>
      <c r="T1" s="6"/>
    </row>
    <row r="2" s="1" customFormat="1" ht="20" customHeight="1" spans="1:20">
      <c r="A2" s="9" t="s">
        <v>1</v>
      </c>
      <c r="B2" s="10"/>
      <c r="C2" s="51" t="s">
        <v>2</v>
      </c>
      <c r="D2" s="52"/>
      <c r="E2" s="52"/>
      <c r="F2" s="52"/>
      <c r="G2" s="52"/>
      <c r="H2" s="52"/>
      <c r="I2" s="52"/>
      <c r="J2" s="53"/>
      <c r="K2" s="52"/>
      <c r="L2" s="52"/>
      <c r="M2" s="52"/>
      <c r="N2" s="52"/>
      <c r="O2" s="52"/>
      <c r="P2" s="54"/>
      <c r="Q2" s="52"/>
      <c r="R2" s="52"/>
      <c r="S2" s="52"/>
      <c r="T2" s="55"/>
    </row>
    <row r="3" s="1" customFormat="1" ht="20" customHeight="1" spans="1:20">
      <c r="A3" s="9" t="s">
        <v>3</v>
      </c>
      <c r="B3" s="10"/>
      <c r="C3" s="11" t="s">
        <v>4</v>
      </c>
      <c r="D3" s="11"/>
      <c r="E3" s="11"/>
      <c r="F3" s="56"/>
      <c r="G3" s="11"/>
      <c r="H3" s="11"/>
      <c r="I3" s="11"/>
      <c r="J3" s="17"/>
      <c r="K3" s="11"/>
      <c r="L3" s="11"/>
      <c r="M3" s="11"/>
      <c r="N3" s="11"/>
      <c r="O3" s="13"/>
      <c r="P3" s="13"/>
      <c r="Q3" s="13"/>
      <c r="R3" s="11"/>
      <c r="S3" s="11"/>
      <c r="T3" s="11"/>
    </row>
    <row r="4" s="1" customFormat="1" ht="20" customHeight="1" spans="1:20">
      <c r="A4" s="14" t="s">
        <v>5</v>
      </c>
      <c r="B4" s="15"/>
      <c r="C4" s="11" t="s">
        <v>6</v>
      </c>
      <c r="D4" s="11"/>
      <c r="E4" s="11"/>
      <c r="F4" s="56"/>
      <c r="G4" s="11"/>
      <c r="H4" s="11"/>
      <c r="I4" s="11"/>
      <c r="J4" s="17"/>
      <c r="K4" s="11"/>
      <c r="L4" s="11"/>
      <c r="M4" s="11"/>
      <c r="N4" s="11"/>
      <c r="O4" s="13"/>
      <c r="P4" s="13"/>
      <c r="Q4" s="13"/>
      <c r="R4" s="11"/>
      <c r="S4" s="11"/>
      <c r="T4" s="11"/>
    </row>
    <row r="5" s="1" customFormat="1" ht="20" customHeight="1" spans="1:20">
      <c r="A5" s="14" t="s">
        <v>7</v>
      </c>
      <c r="B5" s="15"/>
      <c r="C5" s="11" t="s">
        <v>8</v>
      </c>
      <c r="D5" s="11"/>
      <c r="E5" s="11"/>
      <c r="F5" s="56"/>
      <c r="G5" s="11"/>
      <c r="H5" s="11"/>
      <c r="I5" s="11"/>
      <c r="J5" s="17"/>
      <c r="K5" s="11"/>
      <c r="L5" s="11"/>
      <c r="M5" s="11"/>
      <c r="N5" s="11"/>
      <c r="O5" s="13"/>
      <c r="P5" s="13"/>
      <c r="Q5" s="13"/>
      <c r="R5" s="11"/>
      <c r="S5" s="11"/>
      <c r="T5" s="11"/>
    </row>
    <row r="6" s="1" customFormat="1" ht="20" customHeight="1" spans="1:20">
      <c r="A6" s="11" t="s">
        <v>9</v>
      </c>
      <c r="B6" s="11"/>
      <c r="C6" s="11"/>
      <c r="D6" s="11"/>
      <c r="E6" s="11"/>
      <c r="F6" s="56"/>
      <c r="G6" s="11"/>
      <c r="H6" s="11"/>
      <c r="I6" s="11"/>
      <c r="J6" s="17"/>
      <c r="K6" s="11"/>
      <c r="L6" s="11"/>
      <c r="M6" s="11"/>
      <c r="N6" s="11"/>
      <c r="O6" s="13"/>
      <c r="P6" s="13"/>
      <c r="Q6" s="13"/>
      <c r="R6" s="11"/>
      <c r="S6" s="11"/>
      <c r="T6" s="11"/>
    </row>
    <row r="7" s="1" customFormat="1" ht="75" hidden="1" customHeight="1" spans="1:20">
      <c r="A7" s="57" t="s">
        <v>10</v>
      </c>
      <c r="B7" s="58"/>
      <c r="C7" s="58"/>
      <c r="D7" s="58"/>
      <c r="E7" s="59"/>
      <c r="F7" s="60" t="s">
        <v>11</v>
      </c>
      <c r="G7" s="61" t="s">
        <v>12</v>
      </c>
      <c r="H7" s="61" t="s">
        <v>13</v>
      </c>
      <c r="I7" s="62"/>
      <c r="J7" s="63"/>
      <c r="K7" s="61" t="s">
        <v>14</v>
      </c>
      <c r="L7" s="61" t="s">
        <v>15</v>
      </c>
      <c r="M7" s="62"/>
      <c r="N7" s="62"/>
      <c r="O7" s="64"/>
      <c r="P7" s="64" t="s">
        <v>16</v>
      </c>
      <c r="Q7" s="64"/>
      <c r="R7" s="62"/>
      <c r="S7" s="62" t="s">
        <v>17</v>
      </c>
      <c r="T7" s="62"/>
    </row>
    <row r="8" s="1" customFormat="1" ht="45" customHeight="1" spans="1:20">
      <c r="A8" s="65" t="s">
        <v>18</v>
      </c>
      <c r="B8" s="65" t="s">
        <v>19</v>
      </c>
      <c r="C8" s="65" t="s">
        <v>20</v>
      </c>
      <c r="D8" s="65" t="s">
        <v>21</v>
      </c>
      <c r="E8" s="66" t="s">
        <v>22</v>
      </c>
      <c r="F8" s="67" t="s">
        <v>11</v>
      </c>
      <c r="G8" s="65" t="s">
        <v>23</v>
      </c>
      <c r="H8" s="68" t="s">
        <v>24</v>
      </c>
      <c r="I8" s="69" t="s">
        <v>25</v>
      </c>
      <c r="J8" s="70" t="s">
        <v>26</v>
      </c>
      <c r="K8" s="65" t="s">
        <v>27</v>
      </c>
      <c r="L8" s="68" t="s">
        <v>15</v>
      </c>
      <c r="M8" s="65" t="s">
        <v>28</v>
      </c>
      <c r="N8" s="65" t="s">
        <v>29</v>
      </c>
      <c r="O8" s="71" t="s">
        <v>30</v>
      </c>
      <c r="P8" s="71" t="s">
        <v>31</v>
      </c>
      <c r="Q8" s="71" t="s">
        <v>32</v>
      </c>
      <c r="R8" s="18" t="s">
        <v>33</v>
      </c>
      <c r="S8" s="18" t="s">
        <v>34</v>
      </c>
      <c r="T8" s="66" t="s">
        <v>35</v>
      </c>
    </row>
    <row r="9" s="1" customFormat="1" spans="1:20">
      <c r="A9" s="94" t="s">
        <v>36</v>
      </c>
      <c r="B9" s="73" t="s">
        <v>37</v>
      </c>
      <c r="C9" s="73" t="s">
        <v>38</v>
      </c>
      <c r="D9" s="74">
        <v>46048</v>
      </c>
      <c r="E9" s="75" t="s">
        <v>39</v>
      </c>
      <c r="F9" s="76">
        <v>11.56</v>
      </c>
      <c r="G9" s="24">
        <v>2310.92</v>
      </c>
      <c r="H9" s="25">
        <f t="shared" ref="H9:H18" si="0">ROUND(F9*G9,2)</f>
        <v>26714.24</v>
      </c>
      <c r="I9" s="25">
        <f t="shared" ref="I9:I18" si="1">H9*0.31</f>
        <v>8281.4144</v>
      </c>
      <c r="J9" s="77">
        <v>0.7</v>
      </c>
      <c r="K9" s="24">
        <f>ROUND(G9*J9,2)</f>
        <v>1617.64</v>
      </c>
      <c r="L9" s="24">
        <f>ROUND(F9*K9,2)</f>
        <v>18699.92</v>
      </c>
      <c r="M9" s="26">
        <f>ROUND(F9*K9,2)*0.31</f>
        <v>5796.9752</v>
      </c>
      <c r="N9" s="27">
        <v>0.9</v>
      </c>
      <c r="O9" s="24">
        <f>M9*N9</f>
        <v>5217.27768</v>
      </c>
      <c r="P9" s="24">
        <v>0</v>
      </c>
      <c r="Q9" s="24">
        <f t="shared" ref="Q9:Q18" si="2">M9-O9-P9</f>
        <v>579.69752</v>
      </c>
      <c r="R9" s="29">
        <f t="shared" ref="R9:R18" si="3">(I9-M9)/I9</f>
        <v>0.300001796794519</v>
      </c>
      <c r="S9" s="29"/>
      <c r="T9" s="30"/>
    </row>
    <row r="10" s="1" customFormat="1" spans="1:20">
      <c r="A10" s="78"/>
      <c r="B10" s="79"/>
      <c r="C10" s="79"/>
      <c r="D10" s="80"/>
      <c r="E10" s="81" t="s">
        <v>40</v>
      </c>
      <c r="F10" s="76">
        <v>1.76</v>
      </c>
      <c r="G10" s="24">
        <v>928.61</v>
      </c>
      <c r="H10" s="25">
        <f t="shared" si="0"/>
        <v>1634.35</v>
      </c>
      <c r="I10" s="25">
        <f t="shared" si="1"/>
        <v>506.6485</v>
      </c>
      <c r="J10" s="77">
        <v>0.7</v>
      </c>
      <c r="K10" s="24">
        <f t="shared" ref="K10:K18" si="4">ROUND(G10*J10,2)</f>
        <v>650.03</v>
      </c>
      <c r="L10" s="24">
        <f t="shared" ref="L9:L18" si="5">ROUND(F10*K10,2)</f>
        <v>1144.05</v>
      </c>
      <c r="M10" s="26">
        <f t="shared" ref="M9:M18" si="6">ROUND(F10*K10,2)*0.31</f>
        <v>354.6555</v>
      </c>
      <c r="N10" s="27">
        <v>0.9</v>
      </c>
      <c r="O10" s="24">
        <f t="shared" ref="O9:O18" si="7">M10*N10</f>
        <v>319.18995</v>
      </c>
      <c r="P10" s="24">
        <v>0</v>
      </c>
      <c r="Q10" s="24">
        <f t="shared" si="2"/>
        <v>35.46555</v>
      </c>
      <c r="R10" s="29">
        <f t="shared" si="3"/>
        <v>0.299996940679781</v>
      </c>
      <c r="S10" s="29"/>
      <c r="T10" s="30"/>
    </row>
    <row r="11" s="1" customFormat="1" spans="1:20">
      <c r="A11" s="78"/>
      <c r="B11" s="79"/>
      <c r="C11" s="79"/>
      <c r="D11" s="80"/>
      <c r="E11" s="81" t="s">
        <v>41</v>
      </c>
      <c r="F11" s="23">
        <v>60</v>
      </c>
      <c r="G11" s="24">
        <v>33.27</v>
      </c>
      <c r="H11" s="25">
        <f t="shared" si="0"/>
        <v>1996.2</v>
      </c>
      <c r="I11" s="25">
        <f t="shared" si="1"/>
        <v>618.822</v>
      </c>
      <c r="J11" s="77">
        <v>0.7</v>
      </c>
      <c r="K11" s="24">
        <f t="shared" si="4"/>
        <v>23.29</v>
      </c>
      <c r="L11" s="24">
        <f t="shared" si="5"/>
        <v>1397.4</v>
      </c>
      <c r="M11" s="26">
        <f t="shared" si="6"/>
        <v>433.194</v>
      </c>
      <c r="N11" s="27">
        <v>0.9</v>
      </c>
      <c r="O11" s="24">
        <f t="shared" si="7"/>
        <v>389.8746</v>
      </c>
      <c r="P11" s="24">
        <v>0</v>
      </c>
      <c r="Q11" s="24">
        <f t="shared" si="2"/>
        <v>43.3194</v>
      </c>
      <c r="R11" s="29">
        <f t="shared" si="3"/>
        <v>0.299969942891494</v>
      </c>
      <c r="S11" s="29"/>
      <c r="T11" s="30"/>
    </row>
    <row r="12" s="1" customFormat="1" spans="1:20">
      <c r="A12" s="78"/>
      <c r="B12" s="79"/>
      <c r="C12" s="79"/>
      <c r="D12" s="80"/>
      <c r="E12" s="81" t="s">
        <v>42</v>
      </c>
      <c r="F12" s="23">
        <v>4</v>
      </c>
      <c r="G12" s="24">
        <v>180.88</v>
      </c>
      <c r="H12" s="25">
        <f t="shared" si="0"/>
        <v>723.52</v>
      </c>
      <c r="I12" s="25">
        <f t="shared" si="1"/>
        <v>224.2912</v>
      </c>
      <c r="J12" s="77">
        <v>0.7</v>
      </c>
      <c r="K12" s="24">
        <f t="shared" si="4"/>
        <v>126.62</v>
      </c>
      <c r="L12" s="24">
        <f t="shared" si="5"/>
        <v>506.48</v>
      </c>
      <c r="M12" s="26">
        <f t="shared" si="6"/>
        <v>157.0088</v>
      </c>
      <c r="N12" s="27">
        <v>0.9</v>
      </c>
      <c r="O12" s="24">
        <f t="shared" si="7"/>
        <v>141.30792</v>
      </c>
      <c r="P12" s="24">
        <v>0</v>
      </c>
      <c r="Q12" s="24">
        <f t="shared" si="2"/>
        <v>15.70088</v>
      </c>
      <c r="R12" s="29">
        <f t="shared" si="3"/>
        <v>0.299977885891199</v>
      </c>
      <c r="S12" s="29"/>
      <c r="T12" s="30"/>
    </row>
    <row r="13" s="1" customFormat="1" spans="1:20">
      <c r="A13" s="78"/>
      <c r="B13" s="79"/>
      <c r="C13" s="79"/>
      <c r="D13" s="80"/>
      <c r="E13" s="81" t="s">
        <v>43</v>
      </c>
      <c r="F13" s="23">
        <v>1</v>
      </c>
      <c r="G13" s="24">
        <v>1614.77</v>
      </c>
      <c r="H13" s="25">
        <f t="shared" si="0"/>
        <v>1614.77</v>
      </c>
      <c r="I13" s="25">
        <f t="shared" si="1"/>
        <v>500.5787</v>
      </c>
      <c r="J13" s="77">
        <v>0.7</v>
      </c>
      <c r="K13" s="24">
        <f t="shared" si="4"/>
        <v>1130.34</v>
      </c>
      <c r="L13" s="24">
        <f t="shared" si="5"/>
        <v>1130.34</v>
      </c>
      <c r="M13" s="26">
        <f t="shared" si="6"/>
        <v>350.4054</v>
      </c>
      <c r="N13" s="27">
        <v>0.9</v>
      </c>
      <c r="O13" s="24">
        <f t="shared" si="7"/>
        <v>315.36486</v>
      </c>
      <c r="P13" s="24">
        <v>0</v>
      </c>
      <c r="Q13" s="24">
        <f t="shared" si="2"/>
        <v>35.04054</v>
      </c>
      <c r="R13" s="29">
        <f t="shared" si="3"/>
        <v>0.299999380716758</v>
      </c>
      <c r="S13" s="29"/>
      <c r="T13" s="30"/>
    </row>
    <row r="14" s="1" customFormat="1" spans="1:20">
      <c r="A14" s="94" t="s">
        <v>44</v>
      </c>
      <c r="B14" s="73" t="s">
        <v>45</v>
      </c>
      <c r="C14" s="73" t="s">
        <v>46</v>
      </c>
      <c r="D14" s="74">
        <v>46053</v>
      </c>
      <c r="E14" s="75" t="s">
        <v>47</v>
      </c>
      <c r="F14" s="76">
        <v>8.54</v>
      </c>
      <c r="G14" s="24">
        <v>2714.09</v>
      </c>
      <c r="H14" s="25">
        <f t="shared" si="0"/>
        <v>23178.33</v>
      </c>
      <c r="I14" s="25">
        <f t="shared" si="1"/>
        <v>7185.2823</v>
      </c>
      <c r="J14" s="77">
        <v>0.7</v>
      </c>
      <c r="K14" s="24">
        <f t="shared" si="4"/>
        <v>1899.86</v>
      </c>
      <c r="L14" s="24">
        <f t="shared" si="5"/>
        <v>16224.8</v>
      </c>
      <c r="M14" s="26">
        <f t="shared" si="6"/>
        <v>5029.688</v>
      </c>
      <c r="N14" s="27">
        <v>0.9</v>
      </c>
      <c r="O14" s="24">
        <f t="shared" si="7"/>
        <v>4526.7192</v>
      </c>
      <c r="P14" s="24">
        <v>0</v>
      </c>
      <c r="Q14" s="24">
        <f t="shared" si="2"/>
        <v>502.9688</v>
      </c>
      <c r="R14" s="29">
        <f t="shared" si="3"/>
        <v>0.30000133745615</v>
      </c>
      <c r="S14" s="29"/>
      <c r="T14" s="30"/>
    </row>
    <row r="15" s="1" customFormat="1" spans="1:20">
      <c r="A15" s="78"/>
      <c r="B15" s="79"/>
      <c r="C15" s="79"/>
      <c r="D15" s="80"/>
      <c r="E15" s="81" t="s">
        <v>40</v>
      </c>
      <c r="F15" s="76">
        <v>0.935</v>
      </c>
      <c r="G15" s="24">
        <v>928.61</v>
      </c>
      <c r="H15" s="25">
        <f t="shared" si="0"/>
        <v>868.25</v>
      </c>
      <c r="I15" s="25">
        <f t="shared" si="1"/>
        <v>269.1575</v>
      </c>
      <c r="J15" s="77">
        <v>0.7</v>
      </c>
      <c r="K15" s="24">
        <f t="shared" si="4"/>
        <v>650.03</v>
      </c>
      <c r="L15" s="24">
        <f t="shared" si="5"/>
        <v>607.78</v>
      </c>
      <c r="M15" s="26">
        <f t="shared" si="6"/>
        <v>188.4118</v>
      </c>
      <c r="N15" s="27">
        <v>0.9</v>
      </c>
      <c r="O15" s="24">
        <f t="shared" si="7"/>
        <v>169.57062</v>
      </c>
      <c r="P15" s="24">
        <v>0</v>
      </c>
      <c r="Q15" s="24">
        <f t="shared" si="2"/>
        <v>18.84118</v>
      </c>
      <c r="R15" s="29">
        <f t="shared" si="3"/>
        <v>0.299994241289951</v>
      </c>
      <c r="S15" s="29"/>
      <c r="T15" s="30"/>
    </row>
    <row r="16" s="1" customFormat="1" spans="1:20">
      <c r="A16" s="78"/>
      <c r="B16" s="79"/>
      <c r="C16" s="79"/>
      <c r="D16" s="80"/>
      <c r="E16" s="81" t="s">
        <v>41</v>
      </c>
      <c r="F16" s="23">
        <v>54</v>
      </c>
      <c r="G16" s="24">
        <v>33.27</v>
      </c>
      <c r="H16" s="25">
        <f t="shared" si="0"/>
        <v>1796.58</v>
      </c>
      <c r="I16" s="25">
        <f t="shared" si="1"/>
        <v>556.9398</v>
      </c>
      <c r="J16" s="77">
        <v>0.7</v>
      </c>
      <c r="K16" s="24">
        <f t="shared" si="4"/>
        <v>23.29</v>
      </c>
      <c r="L16" s="24">
        <f t="shared" si="5"/>
        <v>1257.66</v>
      </c>
      <c r="M16" s="26">
        <f t="shared" si="6"/>
        <v>389.8746</v>
      </c>
      <c r="N16" s="27">
        <v>0.9</v>
      </c>
      <c r="O16" s="24">
        <f t="shared" si="7"/>
        <v>350.88714</v>
      </c>
      <c r="P16" s="24">
        <v>0</v>
      </c>
      <c r="Q16" s="24">
        <f t="shared" si="2"/>
        <v>38.98746</v>
      </c>
      <c r="R16" s="29">
        <f t="shared" si="3"/>
        <v>0.299969942891494</v>
      </c>
      <c r="S16" s="29"/>
      <c r="T16" s="30"/>
    </row>
    <row r="17" s="1" customFormat="1" spans="1:20">
      <c r="A17" s="78"/>
      <c r="B17" s="79"/>
      <c r="C17" s="79"/>
      <c r="D17" s="80"/>
      <c r="E17" s="81" t="s">
        <v>42</v>
      </c>
      <c r="F17" s="23">
        <v>4</v>
      </c>
      <c r="G17" s="24">
        <v>180.88</v>
      </c>
      <c r="H17" s="25">
        <f t="shared" si="0"/>
        <v>723.52</v>
      </c>
      <c r="I17" s="25">
        <f t="shared" si="1"/>
        <v>224.2912</v>
      </c>
      <c r="J17" s="77">
        <v>0.7</v>
      </c>
      <c r="K17" s="24">
        <f t="shared" si="4"/>
        <v>126.62</v>
      </c>
      <c r="L17" s="24">
        <f t="shared" si="5"/>
        <v>506.48</v>
      </c>
      <c r="M17" s="26">
        <f t="shared" si="6"/>
        <v>157.0088</v>
      </c>
      <c r="N17" s="27">
        <v>0.9</v>
      </c>
      <c r="O17" s="24">
        <f t="shared" si="7"/>
        <v>141.30792</v>
      </c>
      <c r="P17" s="24">
        <v>0</v>
      </c>
      <c r="Q17" s="24">
        <f t="shared" si="2"/>
        <v>15.70088</v>
      </c>
      <c r="R17" s="29">
        <f t="shared" si="3"/>
        <v>0.299977885891199</v>
      </c>
      <c r="S17" s="29"/>
      <c r="T17" s="30"/>
    </row>
    <row r="18" s="1" customFormat="1" spans="1:20">
      <c r="A18" s="78"/>
      <c r="B18" s="79"/>
      <c r="C18" s="79"/>
      <c r="D18" s="80"/>
      <c r="E18" s="81" t="s">
        <v>48</v>
      </c>
      <c r="F18" s="23">
        <v>1</v>
      </c>
      <c r="G18" s="24">
        <v>918.4</v>
      </c>
      <c r="H18" s="25">
        <f t="shared" si="0"/>
        <v>918.4</v>
      </c>
      <c r="I18" s="25">
        <f t="shared" si="1"/>
        <v>284.704</v>
      </c>
      <c r="J18" s="77">
        <v>0.7</v>
      </c>
      <c r="K18" s="24">
        <f t="shared" si="4"/>
        <v>642.88</v>
      </c>
      <c r="L18" s="24">
        <f t="shared" si="5"/>
        <v>642.88</v>
      </c>
      <c r="M18" s="26">
        <f t="shared" si="6"/>
        <v>199.2928</v>
      </c>
      <c r="N18" s="27">
        <v>0.9</v>
      </c>
      <c r="O18" s="24">
        <f t="shared" si="7"/>
        <v>179.36352</v>
      </c>
      <c r="P18" s="24">
        <v>0</v>
      </c>
      <c r="Q18" s="24">
        <f t="shared" si="2"/>
        <v>19.92928</v>
      </c>
      <c r="R18" s="29">
        <f t="shared" si="3"/>
        <v>0.3</v>
      </c>
      <c r="S18" s="29"/>
      <c r="T18" s="30"/>
    </row>
    <row r="19" s="1" customFormat="1" ht="30" customHeight="1" spans="1:20">
      <c r="A19" s="31" t="s">
        <v>49</v>
      </c>
      <c r="B19" s="31"/>
      <c r="C19" s="31"/>
      <c r="D19" s="32"/>
      <c r="E19" s="33"/>
      <c r="F19" s="82"/>
      <c r="G19" s="32"/>
      <c r="H19" s="31">
        <f>SUM(H9:H18)</f>
        <v>60168.16</v>
      </c>
      <c r="I19" s="31">
        <f>SUM(I9:I18)</f>
        <v>18652.1296</v>
      </c>
      <c r="J19" s="83"/>
      <c r="K19" s="32"/>
      <c r="L19" s="31">
        <f>SUM(L9:L18)</f>
        <v>42117.79</v>
      </c>
      <c r="M19" s="31">
        <f>SUM(M9:M18)</f>
        <v>13056.5149</v>
      </c>
      <c r="N19" s="31"/>
      <c r="O19" s="34">
        <f>SUM(O9:O18)</f>
        <v>11750.86341</v>
      </c>
      <c r="P19" s="34">
        <f>SUM(P9:P18)</f>
        <v>0</v>
      </c>
      <c r="Q19" s="34">
        <f>SUM(Q9:Q18)</f>
        <v>1305.65149</v>
      </c>
      <c r="R19" s="35"/>
      <c r="S19" s="35"/>
      <c r="T19" s="32"/>
    </row>
    <row r="20" s="1" customFormat="1" ht="39" hidden="1" customHeight="1" spans="1:20">
      <c r="A20" s="36" t="s">
        <v>50</v>
      </c>
      <c r="B20" s="36"/>
      <c r="C20" s="36"/>
      <c r="D20" s="41" t="s">
        <v>51</v>
      </c>
      <c r="E20" s="41"/>
      <c r="F20" s="84" t="s">
        <v>52</v>
      </c>
      <c r="G20" s="36"/>
      <c r="H20" s="36"/>
      <c r="J20" s="85"/>
      <c r="K20" s="86"/>
      <c r="L20" s="38" t="s">
        <v>53</v>
      </c>
      <c r="M20" s="38"/>
      <c r="N20" s="38"/>
      <c r="O20" s="42"/>
      <c r="P20" s="40" t="s">
        <v>54</v>
      </c>
      <c r="Q20" s="40"/>
      <c r="R20" s="37"/>
      <c r="S20" s="37"/>
      <c r="T20" s="37"/>
    </row>
    <row r="21" s="1" customFormat="1" ht="39" hidden="1" customHeight="1" spans="1:20">
      <c r="A21" s="41" t="s">
        <v>55</v>
      </c>
      <c r="B21" s="41"/>
      <c r="C21" s="41"/>
      <c r="D21" s="41" t="s">
        <v>55</v>
      </c>
      <c r="E21" s="41"/>
      <c r="F21" s="87" t="s">
        <v>55</v>
      </c>
      <c r="G21" s="41"/>
      <c r="H21" s="41"/>
      <c r="J21" s="85"/>
      <c r="K21" s="86"/>
      <c r="L21" s="38" t="s">
        <v>55</v>
      </c>
      <c r="M21" s="38"/>
      <c r="N21" s="38"/>
      <c r="O21" s="42"/>
      <c r="P21" s="40" t="s">
        <v>55</v>
      </c>
      <c r="Q21" s="40"/>
      <c r="R21" s="37"/>
      <c r="S21" s="37"/>
      <c r="T21" s="37"/>
    </row>
    <row r="24" ht="25" customHeight="1" spans="1:20">
      <c r="E24" s="16" t="s">
        <v>22</v>
      </c>
      <c r="F24" s="56" t="s">
        <v>11</v>
      </c>
      <c r="G24" s="11" t="s">
        <v>23</v>
      </c>
      <c r="H24" s="88" t="s">
        <v>24</v>
      </c>
      <c r="I24" s="89" t="s">
        <v>25</v>
      </c>
      <c r="J24" s="90" t="s">
        <v>26</v>
      </c>
      <c r="K24" s="11" t="s">
        <v>27</v>
      </c>
      <c r="L24" s="88" t="s">
        <v>15</v>
      </c>
      <c r="M24" s="11" t="s">
        <v>28</v>
      </c>
      <c r="N24" s="11" t="s">
        <v>29</v>
      </c>
      <c r="O24" s="13" t="s">
        <v>30</v>
      </c>
      <c r="P24" s="13" t="s">
        <v>31</v>
      </c>
      <c r="Q24" s="13" t="s">
        <v>32</v>
      </c>
      <c r="R24" s="17" t="s">
        <v>33</v>
      </c>
      <c r="S24" s="17" t="s">
        <v>34</v>
      </c>
    </row>
    <row r="25" s="45" customFormat="1" ht="42" customHeight="1" spans="1:20">
      <c r="A25" s="1"/>
      <c r="B25" s="1"/>
      <c r="C25" s="1"/>
      <c r="D25" s="45"/>
      <c r="E25" s="91"/>
      <c r="F25" s="91" t="s">
        <v>56</v>
      </c>
      <c r="G25" s="91" t="s">
        <v>57</v>
      </c>
      <c r="H25" s="91" t="s">
        <v>58</v>
      </c>
      <c r="I25" s="92" t="s">
        <v>59</v>
      </c>
      <c r="J25" s="92" t="s">
        <v>60</v>
      </c>
      <c r="K25" s="92" t="s">
        <v>61</v>
      </c>
      <c r="L25" s="92" t="s">
        <v>62</v>
      </c>
      <c r="M25" s="92" t="s">
        <v>63</v>
      </c>
      <c r="N25" s="92" t="s">
        <v>64</v>
      </c>
      <c r="O25" s="92" t="s">
        <v>65</v>
      </c>
      <c r="P25" s="92" t="s">
        <v>66</v>
      </c>
      <c r="Q25" s="92" t="s">
        <v>67</v>
      </c>
      <c r="R25" s="92" t="s">
        <v>68</v>
      </c>
      <c r="S25" s="92"/>
    </row>
    <row r="26" ht="25" customHeight="1" spans="1:20"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</row>
    <row r="27" ht="25" customHeight="1"/>
    <row r="28" ht="25" customHeight="1"/>
    <row r="29" ht="25" customHeight="1"/>
    <row r="30" ht="25" customHeight="1"/>
    <row r="31" ht="25" customHeight="1"/>
    <row r="32" ht="25" customHeight="1"/>
    <row r="33" ht="25" customHeight="1"/>
    <row r="34" ht="25" customHeight="1"/>
    <row r="35" ht="25" customHeight="1"/>
    <row r="36" ht="25" customHeight="1"/>
    <row r="37" ht="25" customHeight="1"/>
    <row r="38" ht="25" customHeight="1"/>
    <row r="39" ht="25" customHeight="1"/>
  </sheetData>
  <mergeCells count="30">
    <mergeCell ref="A1:T1"/>
    <mergeCell ref="A2:B2"/>
    <mergeCell ref="C2:T2"/>
    <mergeCell ref="A3:B3"/>
    <mergeCell ref="C3:T3"/>
    <mergeCell ref="A4:B4"/>
    <mergeCell ref="C4:T4"/>
    <mergeCell ref="A5:B5"/>
    <mergeCell ref="C5:T5"/>
    <mergeCell ref="A6:T6"/>
    <mergeCell ref="A7:E7"/>
    <mergeCell ref="A19:C19"/>
    <mergeCell ref="A20:C20"/>
    <mergeCell ref="D20:E20"/>
    <mergeCell ref="F20:H20"/>
    <mergeCell ref="L20:O20"/>
    <mergeCell ref="P20:T20"/>
    <mergeCell ref="A21:C21"/>
    <mergeCell ref="D21:E21"/>
    <mergeCell ref="F21:H21"/>
    <mergeCell ref="L21:O21"/>
    <mergeCell ref="P21:T21"/>
    <mergeCell ref="A9:A13"/>
    <mergeCell ref="A14:A18"/>
    <mergeCell ref="B9:B13"/>
    <mergeCell ref="B14:B18"/>
    <mergeCell ref="C9:C13"/>
    <mergeCell ref="C14:C18"/>
    <mergeCell ref="D9:D13"/>
    <mergeCell ref="D14:D18"/>
  </mergeCells>
  <pageMargins left="0.75" right="0.75" top="1" bottom="1" header="0.5" footer="0.5"/>
  <pageSetup paperSize="9" scale="5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Q15"/>
  <sheetViews>
    <sheetView workbookViewId="0">
      <pane ySplit="7" topLeftCell="A8" activePane="bottomLeft" state="frozen"/>
      <selection/>
      <selection pane="bottomLeft" activeCell="C20" sqref="C20"/>
    </sheetView>
  </sheetViews>
  <sheetFormatPr defaultColWidth="9" defaultRowHeight="13.5"/>
  <cols>
    <col min="1" max="2" width="26.5" style="3" customWidth="1"/>
    <col min="3" max="3" width="22.375" style="3" customWidth="1"/>
    <col min="4" max="5" width="26.5" style="3" customWidth="1"/>
    <col min="6" max="6" width="5.875" style="3" customWidth="1"/>
    <col min="7" max="7" width="47.375" style="3" customWidth="1"/>
    <col min="8" max="10" width="9.375" style="3" customWidth="1"/>
    <col min="11" max="11" width="7.625" style="3" customWidth="1"/>
    <col min="12" max="12" width="9.375" style="4" customWidth="1"/>
    <col min="13" max="13" width="9.375" style="3" customWidth="1"/>
    <col min="14" max="14" width="7.625" style="5" customWidth="1"/>
    <col min="15" max="16" width="5.875" style="3" customWidth="1"/>
    <col min="17" max="17" width="4.875" style="3" customWidth="1"/>
    <col min="18" max="19" width="9" style="3"/>
    <col min="20" max="20" width="12.625" style="3"/>
    <col min="21" max="16384" width="9" style="3"/>
  </cols>
  <sheetData>
    <row r="1" ht="20" customHeight="1" spans="1:17">
      <c r="A1" s="6" t="s">
        <v>69</v>
      </c>
      <c r="B1" s="6"/>
      <c r="C1" s="6"/>
      <c r="D1" s="6"/>
      <c r="E1" s="6"/>
      <c r="F1" s="6"/>
      <c r="G1" s="6"/>
      <c r="H1" s="6"/>
      <c r="I1" s="6"/>
      <c r="J1" s="6"/>
      <c r="K1" s="6"/>
      <c r="L1" s="7"/>
      <c r="M1" s="6"/>
      <c r="N1" s="8"/>
      <c r="O1" s="6"/>
      <c r="P1" s="6"/>
      <c r="Q1" s="6"/>
    </row>
    <row r="2" ht="20" customHeight="1" spans="1:17">
      <c r="A2" s="9" t="s">
        <v>1</v>
      </c>
      <c r="B2" s="10"/>
      <c r="C2" s="11" t="s">
        <v>70</v>
      </c>
      <c r="D2" s="11"/>
      <c r="E2" s="11"/>
      <c r="F2" s="11"/>
      <c r="G2" s="11"/>
      <c r="H2" s="11"/>
      <c r="I2" s="11"/>
      <c r="J2" s="11"/>
      <c r="K2" s="11"/>
      <c r="L2" s="12"/>
      <c r="M2" s="11"/>
      <c r="N2" s="13"/>
      <c r="O2" s="11"/>
      <c r="P2" s="11"/>
      <c r="Q2" s="11"/>
    </row>
    <row r="3" ht="20" customHeight="1" spans="1:17">
      <c r="A3" s="9" t="s">
        <v>3</v>
      </c>
      <c r="B3" s="10"/>
      <c r="C3" s="11" t="s">
        <v>4</v>
      </c>
      <c r="D3" s="11"/>
      <c r="E3" s="11"/>
      <c r="F3" s="11"/>
      <c r="G3" s="11"/>
      <c r="H3" s="11"/>
      <c r="I3" s="11"/>
      <c r="J3" s="11"/>
      <c r="K3" s="11"/>
      <c r="L3" s="12"/>
      <c r="M3" s="11"/>
      <c r="N3" s="13"/>
      <c r="O3" s="11"/>
      <c r="P3" s="11"/>
      <c r="Q3" s="11"/>
    </row>
    <row r="4" ht="20" customHeight="1" spans="1:17">
      <c r="A4" s="14" t="s">
        <v>5</v>
      </c>
      <c r="B4" s="15"/>
      <c r="C4" s="11" t="s">
        <v>6</v>
      </c>
      <c r="D4" s="11"/>
      <c r="E4" s="11"/>
      <c r="F4" s="11"/>
      <c r="G4" s="11"/>
      <c r="H4" s="11"/>
      <c r="I4" s="11"/>
      <c r="J4" s="11"/>
      <c r="K4" s="11"/>
      <c r="L4" s="12"/>
      <c r="M4" s="11"/>
      <c r="N4" s="13"/>
      <c r="O4" s="11"/>
      <c r="P4" s="11"/>
      <c r="Q4" s="11"/>
    </row>
    <row r="5" ht="20" customHeight="1" spans="1:17">
      <c r="A5" s="14" t="s">
        <v>7</v>
      </c>
      <c r="B5" s="15"/>
      <c r="C5" s="11" t="s">
        <v>8</v>
      </c>
      <c r="D5" s="11"/>
      <c r="E5" s="11"/>
      <c r="F5" s="11"/>
      <c r="G5" s="11"/>
      <c r="H5" s="11"/>
      <c r="I5" s="11"/>
      <c r="J5" s="11"/>
      <c r="K5" s="11"/>
      <c r="L5" s="12"/>
      <c r="M5" s="11"/>
      <c r="N5" s="13"/>
      <c r="O5" s="11"/>
      <c r="P5" s="11"/>
      <c r="Q5" s="11"/>
    </row>
    <row r="6" ht="20" customHeight="1" spans="1:17">
      <c r="A6" s="11" t="s">
        <v>9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2"/>
      <c r="M6" s="11"/>
      <c r="N6" s="13"/>
      <c r="O6" s="11"/>
      <c r="P6" s="11"/>
      <c r="Q6" s="11"/>
    </row>
    <row r="7" ht="24" spans="1:17">
      <c r="A7" s="11" t="s">
        <v>18</v>
      </c>
      <c r="B7" s="11" t="s">
        <v>19</v>
      </c>
      <c r="C7" s="11" t="s">
        <v>20</v>
      </c>
      <c r="D7" s="11" t="s">
        <v>21</v>
      </c>
      <c r="E7" s="16" t="s">
        <v>22</v>
      </c>
      <c r="F7" s="11" t="s">
        <v>11</v>
      </c>
      <c r="G7" s="11" t="s">
        <v>24</v>
      </c>
      <c r="H7" s="11" t="s">
        <v>71</v>
      </c>
      <c r="I7" s="11" t="s">
        <v>27</v>
      </c>
      <c r="J7" s="11" t="s">
        <v>72</v>
      </c>
      <c r="K7" s="11" t="s">
        <v>29</v>
      </c>
      <c r="L7" s="12" t="s">
        <v>30</v>
      </c>
      <c r="M7" s="11" t="s">
        <v>31</v>
      </c>
      <c r="N7" s="13" t="s">
        <v>32</v>
      </c>
      <c r="O7" s="17" t="s">
        <v>33</v>
      </c>
      <c r="P7" s="18" t="s">
        <v>34</v>
      </c>
      <c r="Q7" s="16" t="s">
        <v>35</v>
      </c>
    </row>
    <row r="8" ht="32" customHeight="1" spans="1:17">
      <c r="A8" s="95" t="s">
        <v>36</v>
      </c>
      <c r="B8" s="20" t="s">
        <v>37</v>
      </c>
      <c r="C8" s="20" t="s">
        <v>38</v>
      </c>
      <c r="D8" s="21" t="s">
        <v>73</v>
      </c>
      <c r="E8" s="22" t="s">
        <v>74</v>
      </c>
      <c r="F8" s="23">
        <v>1</v>
      </c>
      <c r="G8" s="24">
        <f>SUM(工程结算金额!H9:H13)</f>
        <v>32683.08</v>
      </c>
      <c r="H8" s="25">
        <f>ROUND(F8*G8,2)*0.69</f>
        <v>22551.3252</v>
      </c>
      <c r="I8" s="24">
        <f>SUM(工程结算金额!L9:L13)</f>
        <v>22878.19</v>
      </c>
      <c r="J8" s="26">
        <f>F8*I8*0.69</f>
        <v>15785.9511</v>
      </c>
      <c r="K8" s="27">
        <v>0.9</v>
      </c>
      <c r="L8" s="28">
        <f>J8*K8</f>
        <v>14207.35599</v>
      </c>
      <c r="M8" s="28">
        <v>0</v>
      </c>
      <c r="N8" s="24">
        <f>J8-L8-M8</f>
        <v>1578.59511</v>
      </c>
      <c r="O8" s="29">
        <f>(H8-J8)/H8</f>
        <v>0.299998959706368</v>
      </c>
      <c r="P8" s="29"/>
      <c r="Q8" s="30"/>
    </row>
    <row r="9" ht="32" customHeight="1" spans="1:17">
      <c r="A9" s="95" t="s">
        <v>44</v>
      </c>
      <c r="B9" s="20" t="s">
        <v>45</v>
      </c>
      <c r="C9" s="20" t="s">
        <v>46</v>
      </c>
      <c r="D9" s="21">
        <v>46053</v>
      </c>
      <c r="E9" s="22" t="s">
        <v>74</v>
      </c>
      <c r="F9" s="23">
        <v>1</v>
      </c>
      <c r="G9" s="24">
        <f>SUM(工程结算金额!H14:H18)</f>
        <v>27485.08</v>
      </c>
      <c r="H9" s="25">
        <f>ROUND(F9*G9,2)*0.69</f>
        <v>18964.7052</v>
      </c>
      <c r="I9" s="24">
        <f>SUM(工程结算金额!L14:L18)</f>
        <v>19239.6</v>
      </c>
      <c r="J9" s="26">
        <f>F9*I9*0.69</f>
        <v>13275.324</v>
      </c>
      <c r="K9" s="27">
        <v>0.9</v>
      </c>
      <c r="L9" s="28">
        <f>J9*K9</f>
        <v>11947.7916</v>
      </c>
      <c r="M9" s="28">
        <v>0</v>
      </c>
      <c r="N9" s="24">
        <f>J9-L9-M9</f>
        <v>1327.5324</v>
      </c>
      <c r="O9" s="29">
        <f>(H9-J9)/H9</f>
        <v>0.299998399131456</v>
      </c>
      <c r="P9" s="29"/>
      <c r="Q9" s="30"/>
    </row>
    <row r="10" ht="25" customHeight="1" spans="1:17">
      <c r="A10" s="31" t="s">
        <v>49</v>
      </c>
      <c r="B10" s="31"/>
      <c r="C10" s="31"/>
      <c r="D10" s="32"/>
      <c r="E10" s="33"/>
      <c r="F10" s="32"/>
      <c r="G10" s="31">
        <f>SUM(G8:G9)</f>
        <v>60168.16</v>
      </c>
      <c r="H10" s="31">
        <f>SUM(H8:H9)</f>
        <v>41516.0304</v>
      </c>
      <c r="I10" s="31">
        <f>SUM(I8:I9)</f>
        <v>42117.79</v>
      </c>
      <c r="J10" s="31">
        <f>SUM(J8:J9)</f>
        <v>29061.2751</v>
      </c>
      <c r="K10" s="32"/>
      <c r="L10" s="31">
        <f>SUM(L8:L9)</f>
        <v>26155.14759</v>
      </c>
      <c r="M10" s="31">
        <f>SUM(M8:M9)</f>
        <v>0</v>
      </c>
      <c r="N10" s="34">
        <f>SUM(N8:N9)</f>
        <v>2906.12751</v>
      </c>
      <c r="O10" s="35"/>
      <c r="P10" s="35"/>
      <c r="Q10" s="32"/>
    </row>
    <row r="11" s="1" customFormat="1" ht="39" customHeight="1" spans="1:17">
      <c r="A11" s="36" t="s">
        <v>50</v>
      </c>
      <c r="B11" s="36"/>
      <c r="C11" s="36"/>
      <c r="D11" s="37" t="s">
        <v>51</v>
      </c>
      <c r="E11" s="37"/>
      <c r="F11" s="37"/>
      <c r="G11" s="38" t="s">
        <v>52</v>
      </c>
      <c r="H11" s="38"/>
      <c r="I11" s="38"/>
      <c r="J11" s="38" t="s">
        <v>53</v>
      </c>
      <c r="K11" s="38"/>
      <c r="L11" s="39"/>
      <c r="M11" s="38"/>
      <c r="N11" s="40" t="s">
        <v>54</v>
      </c>
      <c r="O11" s="37"/>
      <c r="P11" s="37"/>
      <c r="Q11" s="37"/>
    </row>
    <row r="12" s="1" customFormat="1" ht="39" customHeight="1" spans="1:17">
      <c r="A12" s="41" t="s">
        <v>55</v>
      </c>
      <c r="B12" s="41"/>
      <c r="C12" s="41"/>
      <c r="D12" s="37" t="s">
        <v>55</v>
      </c>
      <c r="E12" s="37"/>
      <c r="F12" s="37"/>
      <c r="G12" s="37" t="s">
        <v>55</v>
      </c>
      <c r="H12" s="37"/>
      <c r="I12" s="37"/>
      <c r="J12" s="38" t="s">
        <v>55</v>
      </c>
      <c r="K12" s="38"/>
      <c r="L12" s="39"/>
      <c r="M12" s="38"/>
      <c r="N12" s="42" t="s">
        <v>55</v>
      </c>
      <c r="O12" s="38"/>
      <c r="P12" s="38"/>
      <c r="Q12" s="38"/>
    </row>
    <row r="13" ht="27" customHeight="1" spans="1:17">
      <c r="A13" s="11" t="s">
        <v>18</v>
      </c>
      <c r="B13" s="11" t="s">
        <v>19</v>
      </c>
      <c r="C13" s="11" t="s">
        <v>20</v>
      </c>
      <c r="D13" s="11" t="s">
        <v>21</v>
      </c>
      <c r="E13" s="16" t="s">
        <v>22</v>
      </c>
      <c r="F13" s="11" t="s">
        <v>11</v>
      </c>
      <c r="G13" s="11" t="s">
        <v>24</v>
      </c>
      <c r="H13" s="11" t="s">
        <v>71</v>
      </c>
      <c r="I13" s="11" t="s">
        <v>27</v>
      </c>
      <c r="J13" s="11" t="s">
        <v>72</v>
      </c>
      <c r="K13" s="11" t="s">
        <v>29</v>
      </c>
      <c r="L13" s="12" t="s">
        <v>30</v>
      </c>
      <c r="M13" s="11" t="s">
        <v>31</v>
      </c>
      <c r="N13" s="13" t="s">
        <v>32</v>
      </c>
      <c r="O13" s="17" t="s">
        <v>33</v>
      </c>
      <c r="P13" s="17" t="s">
        <v>34</v>
      </c>
    </row>
    <row r="14" s="2" customFormat="1" ht="108" spans="1:17">
      <c r="A14" s="43" t="s">
        <v>75</v>
      </c>
      <c r="B14" s="43" t="s">
        <v>76</v>
      </c>
      <c r="C14" s="43" t="s">
        <v>77</v>
      </c>
      <c r="D14" s="43" t="s">
        <v>78</v>
      </c>
      <c r="E14" s="43" t="s">
        <v>79</v>
      </c>
      <c r="F14" s="44" t="s">
        <v>80</v>
      </c>
      <c r="G14" s="43" t="s">
        <v>81</v>
      </c>
      <c r="H14" s="43" t="s">
        <v>82</v>
      </c>
      <c r="I14" s="43" t="s">
        <v>83</v>
      </c>
      <c r="J14" s="43" t="s">
        <v>84</v>
      </c>
      <c r="K14" s="43"/>
      <c r="L14" s="43" t="s">
        <v>85</v>
      </c>
      <c r="M14" s="43" t="s">
        <v>86</v>
      </c>
      <c r="N14" s="43" t="s">
        <v>87</v>
      </c>
      <c r="O14" s="43"/>
      <c r="P14" s="43"/>
    </row>
    <row r="15" spans="1:17">
      <c r="G15" s="3">
        <f>SUM(G14:G14)</f>
        <v>0</v>
      </c>
    </row>
  </sheetData>
  <mergeCells count="21">
    <mergeCell ref="A1:Q1"/>
    <mergeCell ref="A2:B2"/>
    <mergeCell ref="C2:Q2"/>
    <mergeCell ref="A3:B3"/>
    <mergeCell ref="C3:Q3"/>
    <mergeCell ref="A4:B4"/>
    <mergeCell ref="C4:Q4"/>
    <mergeCell ref="A5:B5"/>
    <mergeCell ref="C5:Q5"/>
    <mergeCell ref="A6:Q6"/>
    <mergeCell ref="A10:C10"/>
    <mergeCell ref="A11:C11"/>
    <mergeCell ref="D11:F11"/>
    <mergeCell ref="G11:I11"/>
    <mergeCell ref="J11:M11"/>
    <mergeCell ref="N11:Q11"/>
    <mergeCell ref="A12:C12"/>
    <mergeCell ref="D12:F12"/>
    <mergeCell ref="G12:I12"/>
    <mergeCell ref="J12:M12"/>
    <mergeCell ref="N12:Q12"/>
  </mergeCells>
  <conditionalFormatting sqref="A13">
    <cfRule type="duplicateValues" dxfId="0" priority="2"/>
  </conditionalFormatting>
  <conditionalFormatting sqref="B14">
    <cfRule type="duplicateValues" dxfId="0" priority="1"/>
  </conditionalFormatting>
  <conditionalFormatting sqref="A1:A12 A14:A1048576">
    <cfRule type="duplicateValues" dxfId="0" priority="6"/>
  </conditionalFormatting>
  <pageMargins left="0.75" right="0.75" top="1" bottom="1" header="0.5" footer="0.5"/>
  <pageSetup paperSize="9" scale="5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工程结算金额</vt:lpstr>
      <vt:lpstr>搬运结算金额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亻青</cp:lastModifiedBy>
  <dcterms:created xsi:type="dcterms:W3CDTF">2024-10-11T04:48:00Z</dcterms:created>
  <dcterms:modified xsi:type="dcterms:W3CDTF">2026-03-12T06:34:30Z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B3FA1BECECDB4F58AEDC6F1945ED44F0_13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