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firstSheet="2" activeTab="2"/>
  </bookViews>
  <sheets>
    <sheet name="配套模块" sheetId="9" state="hidden" r:id="rId1"/>
    <sheet name="电力施工服务模块（汇总版） " sheetId="10" state="hidden" r:id="rId2"/>
    <sheet name="土建+杆塔" sheetId="7" r:id="rId3"/>
    <sheet name="土建+杆塔模块优化及预算-过程" sheetId="6" state="hidden" r:id="rId4"/>
    <sheet name="现有电力+配套模块优化建议" sheetId="3" state="hidden" r:id="rId5"/>
    <sheet name="建议新增模块" sheetId="4" state="hidden" r:id="rId6"/>
  </sheets>
  <externalReferences>
    <externalReference r:id="rId7"/>
  </externalReferences>
  <definedNames>
    <definedName name="_xlnm._FilterDatabase" localSheetId="0" hidden="1">配套模块!$A$2:$Q$56</definedName>
    <definedName name="_xlnm._FilterDatabase" localSheetId="1" hidden="1">'电力施工服务模块（汇总版） '!$A$3:$O$64</definedName>
    <definedName name="_xlnm._FilterDatabase" localSheetId="2" hidden="1">'土建+杆塔'!$A$3:$AJ$101</definedName>
    <definedName name="_xlnm._FilterDatabase" localSheetId="3" hidden="1">'土建+杆塔模块优化及预算-过程'!$A$2:$R$97</definedName>
    <definedName name="_xlnm._FilterDatabase" localSheetId="4" hidden="1">'现有电力+配套模块优化建议'!$A$2:$S$206</definedName>
    <definedName name="_xlnm._FilterDatabase" localSheetId="5" hidden="1">建议新增模块!$A$1:$L$29</definedName>
    <definedName name="保山市">[1]区域系数链接表!$F$2:$F$6</definedName>
    <definedName name="楚雄州">[1]区域系数链接表!$G$2:$G$11</definedName>
    <definedName name="大理州">[1]区域系数链接表!$H$2:$H$13</definedName>
    <definedName name="德宏州">[1]区域系数链接表!$I$2:$I$6</definedName>
    <definedName name="迪庆州">[1]区域系数链接表!$J$2:$J$4</definedName>
    <definedName name="红河州">[1]区域系数链接表!$K$2:$K$14</definedName>
    <definedName name="昆明市">[1]区域系数链接表!$L$2:$L$15</definedName>
    <definedName name="丽江市">[1]区域系数链接表!$M$2:$M$6</definedName>
    <definedName name="临沧市">[1]区域系数链接表!$N$2:$N$9</definedName>
    <definedName name="怒江州">[1]区域系数链接表!$O$2:$O$5</definedName>
    <definedName name="普洱市">[1]区域系数链接表!$P$2:$P$11</definedName>
    <definedName name="曲靖市">[1]区域系数链接表!$Q$2:$Q$10</definedName>
    <definedName name="文山州">[1]区域系数链接表!$R$2:$R$9</definedName>
    <definedName name="西双版纳州">[1]区域系数链接表!$S$2:$S$15+[1]区域系数链接表!$S$2:$S$4</definedName>
    <definedName name="玉溪市">[1]区域系数链接表!$T$2:$T$10</definedName>
    <definedName name="云南省分公司保山市分公司">[1]区域系数链接表!#REF!</definedName>
    <definedName name="云南省分公司楚雄州分公司">[1]区域系数链接表!#REF!</definedName>
    <definedName name="云南省分公司大理州分公司">[1]区域系数链接表!#REF!</definedName>
    <definedName name="云南省分公司德宏州分公司">[1]区域系数链接表!#REF!</definedName>
    <definedName name="云南省分公司迪庆州分公司">[1]区域系数链接表!#REF!</definedName>
    <definedName name="云南省分公司红河州分公司">[1]区域系数链接表!#REF!</definedName>
    <definedName name="云南省分公司昆明市分公司">[1]区域系数链接表!#REF!</definedName>
    <definedName name="云南省分公司丽江市分公司">[1]区域系数链接表!#REF!</definedName>
    <definedName name="云南省分公司临沧市分公司">[1]区域系数链接表!#REF!</definedName>
    <definedName name="云南省分公司怒江州分公司">[1]区域系数链接表!#REF!</definedName>
    <definedName name="云南省分公司普洱市分公司">[1]区域系数链接表!#REF!</definedName>
    <definedName name="云南省分公司曲靖市分公司">[1]区域系数链接表!#REF!</definedName>
    <definedName name="云南省分公司文山州分公司">[1]区域系数链接表!#REF!</definedName>
    <definedName name="云南省分公司西双版纳州分公司">[1]区域系数链接表!#REF!</definedName>
    <definedName name="云南省分公司玉溪市分公司">[1]区域系数链接表!#REF!</definedName>
    <definedName name="云南省分公司昭通市分公司">[1]区域系数链接表!#REF!</definedName>
    <definedName name="昭通市">[1]区域系数链接表!$U$2:$U$12</definedName>
    <definedName name="_xlnm.Print_Titles" localSheetId="2">'土建+杆塔'!$1:$3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<sst xmlns="http://schemas.openxmlformats.org/spreadsheetml/2006/main" count="4144" uniqueCount="1781">
  <si>
    <t>编号</t>
  </si>
  <si>
    <t>模块名称</t>
  </si>
  <si>
    <t>专业</t>
  </si>
  <si>
    <t>计量单位</t>
  </si>
  <si>
    <t>工作内容</t>
  </si>
  <si>
    <t>备注和说明</t>
  </si>
  <si>
    <t>送审预算</t>
  </si>
  <si>
    <r>
      <rPr>
        <b/>
        <sz val="10"/>
        <rFont val="微软雅黑"/>
        <charset val="134"/>
      </rPr>
      <t>审定预算（</t>
    </r>
    <r>
      <rPr>
        <b/>
        <sz val="10"/>
        <color rgb="FFFF0000"/>
        <rFont val="微软雅黑"/>
        <charset val="134"/>
      </rPr>
      <t>不含税</t>
    </r>
    <r>
      <rPr>
        <b/>
        <sz val="10"/>
        <rFont val="微软雅黑"/>
        <charset val="134"/>
      </rPr>
      <t>）</t>
    </r>
  </si>
  <si>
    <t>预算价格</t>
  </si>
  <si>
    <t>预算安全生产费</t>
  </si>
  <si>
    <t>预算合计</t>
  </si>
  <si>
    <t>审减金额</t>
  </si>
  <si>
    <t>审减率</t>
  </si>
  <si>
    <t>计价</t>
  </si>
  <si>
    <t>审核备注1</t>
  </si>
  <si>
    <t>审核依据</t>
  </si>
  <si>
    <t>动力配套施工-有机房站配套机房净空面积小于或等于15平方米</t>
  </si>
  <si>
    <t>动力配套</t>
  </si>
  <si>
    <t>元/站</t>
  </si>
  <si>
    <t>基准价包含开关电源、蓄电池、电池架、配电箱、电池共用管理器、电力电缆、综合柜、室外走线架（含接地引入扁钢）、智能门禁系统、断电传感器近端模块设备的运输、搬运、安装，以及电源系统调测、容量测试及按照设计要求的各类线缆的提供及布放，包含运输、机房（柜）内（间）电力电缆（含电源系统间、设备和机架接地电缆，不超过15米的开关电源至交流配电箱的电力电缆）、铜鼻子、室外走线架、2个灭火器，电缆需满足铁塔公司技术规范要求，以及按国家标准的分色要求，具体以设计为准。室外走线架15米（含）以内不再记取，超过15米超过部分可记取改造模块中“安装室外走线架”模块。适用于机房净空面积小于或等于15平方米的活动机房（不含拼装机房）、土建机房、租赁机房新建配套安装。</t>
  </si>
  <si>
    <t>成捷讯</t>
  </si>
  <si>
    <t>表三工程量调整，表四运杂采保费核减</t>
  </si>
  <si>
    <t>王宏俊</t>
  </si>
  <si>
    <t>451定额</t>
  </si>
  <si>
    <t>动力配套施工-有机房站配套机房净空面积大于15平方米</t>
  </si>
  <si>
    <t>基准价包含开关电源、蓄电池、电池架、配电箱、电池共用管理器、电力电缆、综合柜、室外走线架（含接地引入扁钢）、智能门禁系统、断电传感器近端模块设备的运输、搬运、安装，以及电源系统调测、容量测试及按照设计要求的各类线缆的提供及布放，包含运输、机房（柜）内（间）电力电缆（含电源系统间、设备和机架接地电缆，不超过15米的开关电源至交流配电箱的电力电缆）、铜鼻子、室外走线架、2个灭火器，电缆需满足铁塔公司技术规范要求，以及按国家标准的分色要求，具体以设计为准。室外走线架15米（含）以内不再记取，超过15米超过部分可记取改造模块中“安装室外走线架”模块。适用于机房净空面积大于15平方米的活动机房、土建机房、租赁机房新建配套安装。</t>
  </si>
  <si>
    <t>动力配套施工-有机房站配套微型机房</t>
  </si>
  <si>
    <t>基准价包含开关电源、蓄电池、电池共用管理器、电力电缆、室外走线架（含接地引入扁钢）、智能门禁系统、断电传感器近端模块设备的运输、搬运、安装，以及电源系统调测、容量测试及按照设计要求的各类线缆的提供及布放，包含运输、机房（柜）内（间）电力电缆（含电源系统间、设备和机架接地电缆，不超过15米的开关电源至交流配电箱的电力电缆）、铜鼻子、室外走线架、2个灭火器材料费，电缆需满足铁塔公司技术规范要求，以及按国家标准的分色要求，具体以设计为准。室外走线架15米（含）以内不再记取，超过15米超过部分可记取改造模块中“安装室外走线架”模块，适用于拼装机房新建配套安装。</t>
  </si>
  <si>
    <t>表三工程量调整，定额子目调整，表四运杂采保费核减</t>
  </si>
  <si>
    <t>动力配套施工-室外机柜配套（第1个机柜）</t>
  </si>
  <si>
    <t>元/机柜</t>
  </si>
  <si>
    <t>基准价包含户外开关电源、蓄电池、电池共用管理器、电力电缆、室外走线架、断电传感器近端模块设备及材料安装、电源系统调测和容量测试及线缆布放，包含机房（柜）内（间）电力电缆（含电源系统间、设备和机架接地电缆，不超过15米的开关电源至交流配电箱的电力电缆）、铜鼻子、室外走线架、接地铜排(可采用扁铁代替地排)材料费用。室外走线架15米（含）以内不再记取，超过15米超过部分可记取改造模块中“安装室外走线架”模块。电缆需满足铁塔公司技术规范要求，以及按国家标准的分色要求，具体以设计为准。</t>
  </si>
  <si>
    <t>动力配套施工-室外机柜配套（每增加1个机柜）</t>
  </si>
  <si>
    <t>增1个室外机柜的安装，含开关电源到综合机柜线缆、地排到综合机柜线缆的布放及材料费，线缆数量、规格、质量遵照技术规范书及设计要求。</t>
  </si>
  <si>
    <t>动力配套施工-壁挂式设备安装</t>
  </si>
  <si>
    <t>壁挂式高频开关电源、壁挂式机柜的安装及布放（含连接设备的电力电缆、接地线缆材料），含运输、二次搬运。该模块用于单独安装壁挂设备，成套新建配套不再给取。</t>
  </si>
  <si>
    <t>动力配套施工-动环监控系统安装调测费自定义安装调测服务</t>
  </si>
  <si>
    <t>元/套</t>
  </si>
  <si>
    <t>配套施工单位对室内动环监控系统的安装及调测，对门禁系统的接入及调测，对站点需接入动环监控系统设备的接入及调测，含施工材料（线缆、pvc管、铜鼻子、胶泥、胶带、阻燃线槽、防火泥、凡士林、防锈漆、膨胀螺钉、连接螺帽螺丝、C型铜接线夹、焊锡、扎带、室内外标签）；含运输、二次搬运</t>
  </si>
  <si>
    <t>未审减</t>
  </si>
  <si>
    <t>动力配套施工-动环监控系统安装调测费户外型FSU安装调测服务</t>
  </si>
  <si>
    <t>配套施工单位对室外动环监控系统的安装及调测，对站点需接入动环监控系统设备的接入及调测，含施工材料（包含但不限于线缆、pvc管、铜鼻子、胶泥、胶带、阻燃线槽、防火泥、凡士林、防锈漆、膨胀螺钉、连接螺帽螺丝、C型铜接线夹、焊锡、扎带、室内外标签等）；含运输、二次搬运。</t>
  </si>
  <si>
    <t>动力配套施工-新增开关电源</t>
  </si>
  <si>
    <t>元/架</t>
  </si>
  <si>
    <t>室内或室外开关电源设备割接或替换（将旧件搬回甲方指定仓库或将原有开关电源割接至另一站点），电源系统调测，开关电源接入运维监控系统调测，以及配套设施的安装和配电箱到开关电源间线缆及开关电源接地线缆的布放（含电缆材料）。</t>
  </si>
  <si>
    <t>动力配套施工-新增蓄电池2V蓄电池</t>
  </si>
  <si>
    <t>元/组</t>
  </si>
  <si>
    <t>1组2V蓄电池的新增或替换（将旧件搬回甲方指定仓库）；蓄电池充电测试；以及配套设施的安装和电缆（含材料提供）的布放。</t>
  </si>
  <si>
    <t>动力配套施工-新增蓄电池12V蓄电池</t>
  </si>
  <si>
    <t>1组12V蓄电池的新增或替换（将旧件搬回甲方指定仓库）；蓄电池充电测试；以及配套设施的安装和电缆（含材料提供）的布放。</t>
  </si>
  <si>
    <t>动力配套施工-配套设备零星（模块）扩容</t>
  </si>
  <si>
    <t>含零星配套设备和材料的扩容，配套电缆的布放，空调防盗笼安装，零星材料的安装及材料提供。</t>
  </si>
  <si>
    <t>动力配套施工-新增室内综合柜</t>
  </si>
  <si>
    <t>1个室内机柜或室外机柜的新增或替换（将旧件搬回甲方指定仓库）；以及配套设施的安装和电缆（含材料提供）的布放，含电源一次下电到机柜一次下电空开2根线缆、电源二次下电到机柜二次下电空开1主1备4根线缆，及机柜接地线缆提供和安装。</t>
  </si>
  <si>
    <t>动力配套施工-新增UPS</t>
  </si>
  <si>
    <t>元/台</t>
  </si>
  <si>
    <t>含UPS设备的新增或替换和必要的辅材（含输入、输出、接地线缆提供）的安装，设备和材料的运输。</t>
  </si>
  <si>
    <t>动力配套施工-新增交流配电箱</t>
  </si>
  <si>
    <t>含交流配电箱或直流分配箱新增或替换和电缆（含材料提供）的布放；按每设备数量为计价单位。</t>
  </si>
  <si>
    <t>动力配套施工-安装空开</t>
  </si>
  <si>
    <t>含空开的安装和替换（含空开提供），按柜体数量计工程量</t>
  </si>
  <si>
    <t>表三工程量调整，表四运杂采保费核减，材料价格调整</t>
  </si>
  <si>
    <t>动力配套施工-安装开关电源模块</t>
  </si>
  <si>
    <t>元/块</t>
  </si>
  <si>
    <t>含开关电源模块的安装和替换，配合调测；必要的辅材提供；以及设备和材料的运输（电源模块乙供），按整流模块数量计量</t>
  </si>
  <si>
    <t>中讯</t>
  </si>
  <si>
    <t>核减表四运杂采保费</t>
  </si>
  <si>
    <t>柯辉</t>
  </si>
  <si>
    <t>动力配套-工程服务改造施工动力配套新增直流分配箱安装直流分配箱/更换模块插框（电缆乙供）</t>
  </si>
  <si>
    <t>1、安装直流分配箱（甲供）/更换模块插框（乙供）；2、连接直流分配箱至开关电源图纸指定空余端子；3、连接动环并调测成功；4、将废旧插框运送到指定仓库；5、含直流分配箱及所需的材料。</t>
  </si>
  <si>
    <t>动力配套施工-改造施工动力配套更换空调施工</t>
  </si>
  <si>
    <t>1、拆除旧空调及断开连接空调动环监控；2、按图纸位置安装新空调、成功连接动环监控及连接电源并加电（含接地线缆）；3、测试新空调运行情况，调测恢复动环监控；测试动环监控告警情况；4、搬运旧空调到指定仓库。</t>
  </si>
  <si>
    <t>动力配套施工-新建动力配套安装接地铜排</t>
  </si>
  <si>
    <t>元/个</t>
  </si>
  <si>
    <t>包工包料，铜排的材料、安装、运输、二次搬运</t>
  </si>
  <si>
    <t>动力配套施工-改造施工动力配套安装室内走线架</t>
  </si>
  <si>
    <t>元/米</t>
  </si>
  <si>
    <t>包工包料，走线架的材料（铜弯角、汇流条）、安装、运输、二次搬运</t>
  </si>
  <si>
    <t>动力配套施工-改造施工动力配套安装室外走线架</t>
  </si>
  <si>
    <t>动力配套施工-新建动力配套安装馈线窗</t>
  </si>
  <si>
    <t>包工包料，馈线窗的材料、安装（含馈窗开洞、封堵）、运输、二次搬运。</t>
  </si>
  <si>
    <t>动力配套施工-改造动力配套新增蓄电池梯级利用电池安装(室内站)</t>
  </si>
  <si>
    <t>指将原有蓄电池（2V/12V铅酸蓄电池或48V梯次电池）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4、包含电力电缆，电缆需满足铁塔公司技术规范要求以及按国家标准的要求，具体以设计为准；5、梯级利用电池接入运维监控系统调测；适用于室内站；</t>
  </si>
  <si>
    <t>动力配套施工-改造动力配套新增蓄电池梯级利用电池安装(室外站)</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</si>
  <si>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4、包含电力电缆，电缆需满足铁塔公司技术规范要求以及按国家标准的要求，具体以设计为准；5、梯级利用电池接入运维监控系统调测；适用于室外站；</t>
  </si>
  <si>
    <t>动力配套施工-改造动力配套配套设备搬迁基站设备搬迁(室内站)</t>
  </si>
  <si>
    <t>室内站设备搬迁含开关电源、蓄电池、空调、通风系统、动环监控系统、油机、综合机柜（含电源一次下电到机柜一次下电空开2根线缆、电源二次下电到机柜二次下电空开1主1备4根线缆）、交流配电箱设备的拆除，搬迁，安装、电源系统调测；包含机房（柜）内（间）电力电缆（含接地排到预留接地点的电缆、电源系统间、设备和机架接地电缆，不含外电引入电缆）、铜鼻子，电缆需满足铁塔公司技术规范要求，以及按国家标准的分色要求，具体以设计为准；以及配套电力电缆布放。具体以设计为准。按单站为计价单位</t>
  </si>
  <si>
    <t>动力配套施工-改造动力配套配套设备搬迁基站设备搬迁(室外站)</t>
  </si>
  <si>
    <t>室外站设备搬迁含开关电源、蓄电池、动环监控系统、综合机柜（含电源一次下电到机柜一次下电空开2根线缆、电源二次下电到机柜二次下电空开1主1备4根线缆）、交流配电箱配套设备拆除、搬运、安装，包含所有线缆、铜鼻子、走线架、地排的拆除和安装（含新建需要补充的线缆、铜鼻子、走线架、地排）。具体以设计为准。按单站为计价单位</t>
  </si>
  <si>
    <t>孟杨</t>
  </si>
  <si>
    <t>动力配套-工程服务改造施工动力配套零星改造安装负载智能断路器以站点为单位</t>
  </si>
  <si>
    <t>室内或室外智能负载断路器的安装调试，含负载的割接，改造使用电力电缆材料及施工。智能负载断路接入动力环境监控以及动力环境监控的调测。</t>
  </si>
  <si>
    <t>动力配套施工-改造动力配套新增蓄电池梯级利用电池安装</t>
  </si>
  <si>
    <t>指新增铁锂电池及电池共用管理器；包含工作内容：1、蓄电池及电池共用管理器的搬运（从指定仓库搬运至基站）、安装、调测；2、开关电源及电池共用管理器参数的设置。3、配套设施的安装和电缆的布放以及辅材辅料提供，包含铜鼻子（各种规格）、防火泥、扎带、胶带、凡士林；4、包含电力电缆，电缆需满足铁塔公司技术规范要求以及按国家标准的要求，具体以设计为准；5、新增电池及电池共用管理器接入运维监控系统调测；</t>
  </si>
  <si>
    <t>表四运杂采保费核减</t>
  </si>
  <si>
    <t>动力配套-工程服务改造施工动力配套原有机柜位置调整或拆除</t>
  </si>
  <si>
    <t>原有机柜位置调整或拆除，包含拆除机柜内设备、综合机柜线缆、地排到综合机柜线缆的布放及材料费，线缆数量、规格、质量遵照技术规范书及设计要求，包含运营商设备割接。</t>
  </si>
  <si>
    <t>动力配套-工程服务改造施工动力配套交流配电箱至开关电源线更换</t>
  </si>
  <si>
    <t>交流配电箱到开关电源线缆更换：包含线缆套管及固定，含材料提供，线缆数量、规格、质量遵照技术规范书及设计要求。</t>
  </si>
  <si>
    <t>工作内容中工程量不明确</t>
  </si>
  <si>
    <t>动力配套-工程服务改造施工动力配套配套设备零星（模块）扩容电池架安装</t>
  </si>
  <si>
    <t>甲供电池架不足时要求电池架乙供</t>
  </si>
  <si>
    <t>动力配套-工程服务改造施工动力配套配套设备零星（模块）扩容基站天线调整</t>
  </si>
  <si>
    <t>调整天线、RRU位置，包含天线、RRU安装和拆除，含辅材费用</t>
  </si>
  <si>
    <t>动力配套-工程服务新建施工动力配套空调及外机保笼安装空调安装</t>
  </si>
  <si>
    <t>1、按图纸位置安装新空调、成功连接动环监控及连接电源并加电（含接地线缆）；2、测试新空调运行情况，调测接入动环监控；测试动环监控告警情况</t>
  </si>
  <si>
    <t>罗旭</t>
  </si>
  <si>
    <t>动力配套-工程服务改造施工动力配套配套设备零星（模块）扩容电源柜拆除施工</t>
  </si>
  <si>
    <t>1、拆旧电源柜；2、按照图纸要求恢复原有设备接电；3、按台搬运到指定仓库（含老旧电缆）。</t>
  </si>
  <si>
    <t>动力配套-工程服务改造施工动力配套配套设备零星（模块）扩容综合柜拆除施工</t>
  </si>
  <si>
    <t>1、拆旧综合柜；2、按照图纸要求恢复设备安装及接电；3、按架搬运到指定仓库（含老旧电缆）。</t>
  </si>
  <si>
    <t>施工-宏站-改造-动力配套-设备安装-整流模块</t>
  </si>
  <si>
    <t>新增整流模块，整流模块甲供，按站计价。</t>
  </si>
  <si>
    <t>动力配套-工程服务改造施工动力配套新增开关电源新增开关电源-不拆除原有设备（电缆乙供）</t>
  </si>
  <si>
    <t>室内或室外开关电源新增，电源系统调测，开关电源接入运维监控系统调测，以及配套设施的安装和配电箱到开关电源间线缆及开关电源接地线缆的布放（含电缆材料）。</t>
  </si>
  <si>
    <t>动力配套-工程服务改造施工动力配套配套设备零星（模块）扩容GPS抱杆新增</t>
  </si>
  <si>
    <t>增加GPS抱杆，含GPS抱杆施工以及必要的材料、搬运、安装。</t>
  </si>
  <si>
    <t>动力配套-工程服务新建施工动力配套动环监控系统安装调测费FSU安装调测服务简易型FSU安装调测服务简易型FSU-安装调测服务</t>
  </si>
  <si>
    <t>配套施工单位对室外动环监控系统的安装及调测，对站点需接入动环监控系统设备的接入及调测，含施工材料（包含但不限于线缆、pvc管、铜鼻子、胶泥、胶带、阻燃线槽、防火泥、凡士林、防锈漆、膨胀螺钉、连接螺帽螺丝、C型铜接线夹、焊锡、扎带、室内外标签）；含运输、二次搬运</t>
  </si>
  <si>
    <t>动力配套-安装空开（甲供空开）</t>
  </si>
  <si>
    <t>含空开的安装和替换（空开甲供），按柜体数量计工程量</t>
  </si>
  <si>
    <t>动力配套-安装接地排（改造站）</t>
  </si>
  <si>
    <t>包工包料，使用40*4热镀锌扁铁（21孔、直径10mm）搭接至原有地网作并做防锈处理（含安装、运输）</t>
  </si>
  <si>
    <t>动力配套-基站设备安装</t>
  </si>
  <si>
    <t>BBU、PTN、SPN、OLT安装，含施工、材料搬运、废旧物资退回费、乙供电源线，尾纤、接地线及辅材，配合完成设备调测</t>
  </si>
  <si>
    <t>动力配套-天线/AAU安装</t>
  </si>
  <si>
    <t>基站天线、AAU安装调测，含施工、材料搬运及辅材、废旧物资退回费</t>
  </si>
  <si>
    <t>动力配套-RRU安装</t>
  </si>
  <si>
    <t>基站RRU安装调测，含施工、材料搬运及辅材、废旧物资退回费</t>
  </si>
  <si>
    <t>动力配套-GPS天线安装</t>
  </si>
  <si>
    <t>GPS天线安装，含施工、材料搬运、废旧物资退回费。除甲供材料外由施工方提供材料</t>
  </si>
  <si>
    <t>动力配套-RRU电源线布放（电缆乙供）</t>
  </si>
  <si>
    <t>RRU电源线布放，电缆乙供，含施工，材料搬运，负荷设计要求的铜缆及辅材</t>
  </si>
  <si>
    <t>动力配套-RRU电源线布放（电缆甲供）</t>
  </si>
  <si>
    <t>RRU电源线布放，电缆甲供，含施工，材料搬运及辅材</t>
  </si>
  <si>
    <t>动力配套-野战光缆布放（光缆甲供）</t>
  </si>
  <si>
    <t>野战光缆布放，光缆甲供，含施工，材料搬运及辅材</t>
  </si>
  <si>
    <t>动力配套-野战光缆布放（光缆乙供）</t>
  </si>
  <si>
    <t>野战光缆布放，光缆乙供，含施工，材料搬运及辅材</t>
  </si>
  <si>
    <t>动力配套-尾纤布放</t>
  </si>
  <si>
    <t>元/根</t>
  </si>
  <si>
    <t>尾纤布放，包工包料，含施工，材料搬运及辅材</t>
  </si>
  <si>
    <t>动力配套-工程服务新建施工动力配套动力配套二次搬运土建机房站点100米-500米（含）</t>
  </si>
  <si>
    <t>新建、改造站点动力配套设备及材料的二次搬运增加费(100m-500m)（施工场地因地形狭小或因天气原因等造成交通道路条件较差使得常规机动运输车辆难以直接到达指定地点，而需要通过“人背马驮”或其他特殊情况下必须更换车辆进行二次或多次转运方可记取二搬），不足100米不计取，无机柜搬运不计取。</t>
  </si>
  <si>
    <r>
      <rPr>
        <sz val="10"/>
        <rFont val="微软雅黑"/>
        <charset val="134"/>
      </rPr>
      <t>搬运设备包括机柜、开关电源、电池、FSU、线缆及辅材；无机柜搬运不计取二搬。预算按单站2个机柜体积2.1m³记（每个机柜1.05m³），</t>
    </r>
    <r>
      <rPr>
        <sz val="10"/>
        <color rgb="FFFF0000"/>
        <rFont val="微软雅黑"/>
        <charset val="134"/>
      </rPr>
      <t>搬运距离按200米测算（该区间二搬距离在200米以上占比较高）；</t>
    </r>
  </si>
  <si>
    <t>工程量调整，定额子目调整</t>
  </si>
  <si>
    <t>云南省通用安装工程计价标准(2020)</t>
  </si>
  <si>
    <t>动力配套-工程服务新建施工动力配套动力配套二次搬运土建机房站点500米-1000米（含）</t>
  </si>
  <si>
    <r>
      <rPr>
        <sz val="10"/>
        <rFont val="微软雅黑"/>
        <charset val="134"/>
      </rPr>
      <t>新建、改造站点动力配套设备及材料的二次搬运增加费(500m-1000m)（施工场地因地形狭小或因天气原因等造成交通道路条件较差使得常规机动运输车辆难以直接到达指定地点，而需要通过“人背马驮”或其他特殊情况下必须更换车辆进行二次或多次转运方可记取二搬），</t>
    </r>
    <r>
      <rPr>
        <sz val="10"/>
        <color rgb="FFFF0000"/>
        <rFont val="微软雅黑"/>
        <charset val="134"/>
      </rPr>
      <t>500米以上计取</t>
    </r>
    <r>
      <rPr>
        <sz val="10"/>
        <rFont val="微软雅黑"/>
        <charset val="134"/>
      </rPr>
      <t>，无机柜搬运不计取。</t>
    </r>
  </si>
  <si>
    <r>
      <rPr>
        <sz val="10"/>
        <rFont val="微软雅黑"/>
        <charset val="134"/>
      </rPr>
      <t>搬运设备包括机柜、开关电源、电池、FSU、线缆及辅材；无机柜搬运不计取二搬。预算按单站2个机柜体积2.1m³（每个机柜1.05m³），</t>
    </r>
    <r>
      <rPr>
        <sz val="10"/>
        <color rgb="FFFF0000"/>
        <rFont val="微软雅黑"/>
        <charset val="134"/>
      </rPr>
      <t>搬运距离按500米测算（以该区间最低搬运距离记取测算）；</t>
    </r>
  </si>
  <si>
    <r>
      <rPr>
        <sz val="10"/>
        <rFont val="微软雅黑"/>
        <charset val="134"/>
      </rPr>
      <t>动力配套-工程服务新建施工动力配套动力配套二次搬运土建机房站点1000米</t>
    </r>
    <r>
      <rPr>
        <sz val="10"/>
        <color rgb="FFFF0000"/>
        <rFont val="微软雅黑"/>
        <charset val="134"/>
      </rPr>
      <t>以上</t>
    </r>
  </si>
  <si>
    <r>
      <rPr>
        <sz val="10"/>
        <rFont val="微软雅黑"/>
        <charset val="134"/>
      </rPr>
      <t>新建、改造站点动力配套设备及材料的二次搬运增加费(1000m以上)（施工场地因地形狭小或因天气原因等造成交通道路条件较差使得常规机动运输车辆难以直接到达指定地点，而需要通过“人背马驮”或其他特殊情况下必须更换车辆进行二次或多次转运方可记取二搬），</t>
    </r>
    <r>
      <rPr>
        <sz val="10"/>
        <color rgb="FFFF0000"/>
        <rFont val="微软雅黑"/>
        <charset val="134"/>
      </rPr>
      <t>1000以上米计取</t>
    </r>
    <r>
      <rPr>
        <sz val="10"/>
        <rFont val="微软雅黑"/>
        <charset val="134"/>
      </rPr>
      <t>，无机柜搬运不计取。</t>
    </r>
  </si>
  <si>
    <r>
      <rPr>
        <sz val="10"/>
        <rFont val="微软雅黑"/>
        <charset val="134"/>
      </rPr>
      <t>搬运设备包括机柜、开关电源、电池、FSU、线缆及辅材，无机柜搬运不计取二搬。预算按单站2个机柜体积2.1m³（每个机柜1.05m³），</t>
    </r>
    <r>
      <rPr>
        <sz val="10"/>
        <color rgb="FFFF0000"/>
        <rFont val="微软雅黑"/>
        <charset val="134"/>
      </rPr>
      <t>搬运距离1000米测算（以该区间最低搬运距离记取测算）；</t>
    </r>
  </si>
  <si>
    <t>中国铁塔股份有限公司云南省分公司2024-2025年电力引入施工模块内容及基准价</t>
  </si>
  <si>
    <t>序号</t>
  </si>
  <si>
    <t>模块描述1</t>
  </si>
  <si>
    <t>模块描述2</t>
  </si>
  <si>
    <t>材料类型及要求</t>
  </si>
  <si>
    <t>通发模块基准价/元（送审）</t>
  </si>
  <si>
    <t>通发模块基准价/元（审定）</t>
  </si>
  <si>
    <t>审减</t>
  </si>
  <si>
    <t>审核备注</t>
  </si>
  <si>
    <t>基准价（不含安全生产费）</t>
  </si>
  <si>
    <t>安全生产费</t>
  </si>
  <si>
    <t>基准价（含安全生产费）</t>
  </si>
  <si>
    <t>定额依据</t>
  </si>
  <si>
    <t>电力引入</t>
  </si>
  <si>
    <t>高压</t>
  </si>
  <si>
    <t>高压带电接或断引流线</t>
  </si>
  <si>
    <t>次</t>
  </si>
  <si>
    <t>工程量：高压10kV电力线路引（断）电时，需采用带电作业车辆或搭建绝缘平台（脚手架）进行带电作业操作费用。符合地州电网供电部门或建设单位要求（具备资质，事先报备），且满足当地供电局要求的带电作业车辆或搭建绝缘平台（脚手架）进行带电作业，结算时，应提供带水印的现场照片和相关协议及凭证材料。</t>
  </si>
  <si>
    <t>以带水印的带电作业车辆或搭建绝缘平台（脚手架）现场使用照片和相关操作票照片为准；具体以满足电力公司要求为准。</t>
  </si>
  <si>
    <t>/</t>
  </si>
  <si>
    <t>根据集团相关要求，暂不纳入审计范围，由送审单位与总部沟通后再议</t>
  </si>
  <si>
    <t>《电网技术改造工程预算定额（2020年版）第二册 电气工程》,《电网技术改造工程预算定额（2020年版）第三册 架空线路工程》,《电网技术改造工程预算定额（2020年版）第五册 调试工程》,2016年版《20kV及以下配电网工程建设预算定额》第三册 架空线路工程,2016年版《20kV及以下配电网工程建设预算定额》第四册 电缆工程</t>
  </si>
  <si>
    <t>高压真空断路器（普通型）</t>
  </si>
  <si>
    <t>套</t>
  </si>
  <si>
    <t>工程量：材料费包含真空断路器或智能真空断路器本体、双侧引流接线、普通型避雷器、接续金具、绝缘子、固定横担及抱箍和施工所需辅材；施工费包含开关主设备材料的施工安装费及检测费、调测费、主设备材料及辅材的运输费（含装卸）和现场施工的搬运费（含人工）。具体以电力公司要求为准，若需采用高压跌落式避雷器，应与高压跌落式避雷器模块配套使用，本模块不含地网，</t>
  </si>
  <si>
    <t>不低于ABB、或者施耐德的同级630A柱上断路器的设备性能；具体以满足电力公司要求为准。</t>
  </si>
  <si>
    <t>高压真空断路器（智能型）</t>
  </si>
  <si>
    <t>台</t>
  </si>
  <si>
    <t>高压隔离开关</t>
  </si>
  <si>
    <t>组</t>
  </si>
  <si>
    <t>工程量：材料费包含隔离开关本体（三相联动）、双侧引流接线、接续金具、绝缘子、固定横担及抱箍和施工所需辅材；施工费包含开关主设备材料的施工安装费及检测费、主设备材料及辅材的运输费（含装卸）和现场施工的搬运费（含人工）。具体以电力公司要求为准，本模块不含地网。</t>
  </si>
  <si>
    <t>开关型号不低于GW9-10W(2)/630</t>
  </si>
  <si>
    <t>高压跌落式熔断器</t>
  </si>
  <si>
    <t>工程量：材料费包含跌落式熔断器本体（三支）、双侧引流接线、接续金具、绝缘子、固定横担及抱箍和施工所需辅材；施工费包含开关主设备材料的施工安装费及检测费、主设备材料及辅材的运输费（含装卸）和现场施工的搬运费（含人工）。具体以电力公司要求为准，本模块不含地网。</t>
  </si>
  <si>
    <t>跌落熔丝需要根据不同需求10kV线路容量或变压器确定型号。具体以满足电力公司要求为准。</t>
  </si>
  <si>
    <t>高压跌落式避雷器</t>
  </si>
  <si>
    <t>工程量：材料费包含跌落式避雷器本体（三支）、单侧引流接线、接续金具、固定横担及抱箍和施工所需辅材；施工费包含避雷器主设备材料的施工安装费及检测费、主设备材料及辅材的运输费（含装卸）和现场施工的搬运费（含人工）。具体以电力公司要求为准，本模块不含地网。</t>
  </si>
  <si>
    <t>型号不低于HY5WS-17/50DL-TR，III级防污；具体以满足电力公司要求为准。</t>
  </si>
  <si>
    <t>高压线路或开关设备防雷接地</t>
  </si>
  <si>
    <t>个</t>
  </si>
  <si>
    <t>工程量：材料费包含接地引下线、接续金具、垂直接地扁铁、水平接地圆钢、垂直接地角钢费和施工所需辅材；施工费包含接地网搭建及铁附件敷设、土方开挖及回填、接地电阻测试、主材及辅材的运输费（含装卸）和现场施工的搬运费（含人工）。具体以电力公司要求为准。</t>
  </si>
  <si>
    <t>水平接地极总长度不应小于30米，水平接地体埋深不低于0.7米，垂直接地极不小于6组，每组长度不小于1.5米。具体以满足电力公司要求为准。</t>
  </si>
  <si>
    <t>高压架空/附挂35mm²（乙供）</t>
  </si>
  <si>
    <t>米</t>
  </si>
  <si>
    <t>1）工程量：材料费包含高压电力线缆主材费（乙供）或不含高压电力线缆主材费（甲供）、接续金具、绝缘子、固定横担及抱箍和施工所需辅材；施工费包含高压电力线缆敷设、横担定位及安装费或管道（电缆沟）通道疏通费用、高压电缆线缆检测费、主辅材的运输费（含装卸）、现场施工的搬运费（含人工）。
2）此模块适用于高压绝缘导线沿构建物（如水泥杆）敷设、高压电力电缆穿管道或电缆沟敷设、桥架内敷设、直埋段敷设；按线路长度计取。</t>
  </si>
  <si>
    <t>适用于JKLGYJ-10kV-35/6mm²×3或JKLYJ-10kV-35×3mm²或YJLV22-8.7/15kV-3×35mm²的高压电力线缆（乙供）。</t>
  </si>
  <si>
    <t>定额子目调整，材料价格调整</t>
  </si>
  <si>
    <t>高压架空/附挂50mm²（乙供）</t>
  </si>
  <si>
    <t>适用于JKLGYJ-10kV-50/8mm×3²或JKLYJ-10kV-50mm²×3或YJLV22-8.7/15kV-3×50mm²的高压电力线缆（乙供）。</t>
  </si>
  <si>
    <t>高压架空/附挂70mm²（乙供）</t>
  </si>
  <si>
    <t>适用于JKLGYJ-10kV-70/10mm²×3或JKLYJ-10kV-70mm²×3或YJLV22-8.7/15kV-3×70mm²的高压电力线缆（乙供）。</t>
  </si>
  <si>
    <t>高压架空/附挂70mm²及以下（甲供）</t>
  </si>
  <si>
    <t>适用于JKLGYJ-10kV-35/6~70/10mm²×3或JKLYJ-10kV-35~70mm²×3或YJLV22-8.7/15kV-kV-3×35~3×70mm²或YJV22-8.7/15kV-kV-3×35~3×70mm²的高压线路线缆（甲供）。</t>
  </si>
  <si>
    <t>台式变压器20kVA（含JP柜）</t>
  </si>
  <si>
    <r>
      <rPr>
        <sz val="11"/>
        <rFont val="微软雅黑"/>
        <charset val="134"/>
      </rPr>
      <t>工程量：材料费包含台式变压器本体</t>
    </r>
    <r>
      <rPr>
        <b/>
        <sz val="11"/>
        <rFont val="微软雅黑"/>
        <charset val="134"/>
      </rPr>
      <t>、</t>
    </r>
    <r>
      <rPr>
        <sz val="11"/>
        <rFont val="微软雅黑"/>
        <charset val="134"/>
      </rPr>
      <t>台式变压器高压侧进线（三相三线）、高压线路型跌落式熔断器、高压线路型避雷器、台式变压器低压侧出线（三相四线）、低压综合配电箱或JP柜（含计量及监控装置、断路器、互感器、低压避雷器、铜排）、台式变压器固定槽钢及抱箍、低压综合配电箱或JP柜固定槽钢及抱箍、台式变压器及接地引线、接续金具、设备及安全警示标识牌、变压器防盗装置、变压器高低压进出线端绝缘护罩以及施工所需辅材；施工费包含台式变压器定位及安装费用、跌落式熔断器及避雷器安装费、横担及抱箍安装费、调测费、检测费（含损坏变压器及新增变压器检测报告）、主设备材料及辅材运输费（含装卸）、现场施工搬运费（含人工）。</t>
    </r>
  </si>
  <si>
    <t>20kVA，设备规格需满足S13系列及以上，变压器连结方式为Dyn11，铜芯变压器；低压综合配电箱容量不低于20kVA。</t>
  </si>
  <si>
    <t>定额子目调整，电杆材料剔除</t>
  </si>
  <si>
    <t>台式变压器30kVA（含JP柜）</t>
  </si>
  <si>
    <t>30kVA，设备规格需满足S13系列及以上，变压器连结方式为Dyn11，铜芯变压器；低压综合配电箱容量不低于30kVA。</t>
  </si>
  <si>
    <t>台式变压器50kVA（含JP柜）</t>
  </si>
  <si>
    <t>50kVA，设备规格需满足S13系列及以上，变压器连结方式为Dyn11，铜芯变压器；低压综合配电箱容量不低于50kVA。</t>
  </si>
  <si>
    <t>台式变压器80kVA（含JP柜）</t>
  </si>
  <si>
    <t>80kVA，设备规格需满足S13系列及以上，变压器连结方式为Dyn11，铜芯变压器；低压综合配电箱容量不低于80kVA。</t>
  </si>
  <si>
    <t>台式变压器100kVA（含JP柜）</t>
  </si>
  <si>
    <t>100kVA，设备规格需满足S13系列及以上，变压器连结方式为Dyn11，铜芯变压器；低压综合配电箱容量不低于100kVA。</t>
  </si>
  <si>
    <t>高压台式变压器接地装置</t>
  </si>
  <si>
    <t>水平接地极总长度不应小于30米，垂直接地极不小于6组，每组长度不小于1.5米。水平接地极在耕地应不小于耕作深度且不小于0.8m;水平接地极与垂直接地极必须用焊接，接口长度不得小于200毫米，焊缝高度不小于8毫米。由于接地装置缺失或者不满足接地要求造成的设备损坏，一切责任由施工单位承担。</t>
  </si>
  <si>
    <t>箱式变压器30kVA</t>
  </si>
  <si>
    <t>工程量：材料费包含箱式变压器本体｛含高压进线柜（含负荷开关或断路器、熔断器、避雷器）、计量柜（含互感器、负控终端、计量装置）、低压出线柜（含塑壳断路器、低压避雷器）｝、设备及安全防护标识牌、箱变接地全套铁附件、构建高（低）压电缆进（出）线工作井和箱式变压器基础所需的建筑材料（水、砖、角钢、水泥盖板、水泥、黄砂、碎石、塑料管）以及施工所需辅材；施工费箱式变压器定位及安装费、检测费（含损坏变压器及新增变压器检测报告）、调测费、箱变基础施工费、高（低）压电缆进（出）线工作井施工费、地网搭建及施工费、土方开挖及回填费、主设备材料及辅材运输费（含装卸）、余土外运费（含装卸）、现场施工搬运费（含人工）。</t>
  </si>
  <si>
    <t>20kVA，设备规格需满足S13系列及以上，变压器连结方式为Dyn11，铜芯变压器；</t>
  </si>
  <si>
    <t>箱式变压器50kVA</t>
  </si>
  <si>
    <t>30kVA，设备规格需满足S13系列及以上，变压器连结方式为Dyn11，铜芯变压器</t>
  </si>
  <si>
    <t xml:space="preserve"> </t>
  </si>
  <si>
    <t>地面水泥硬化</t>
  </si>
  <si>
    <t>平方米</t>
  </si>
  <si>
    <t>工程量：材料费包含铺设水泥平台所需水、水泥、黄砂、碎石相关的建筑物材料及施工所需辅材；施工费包含施工场地平整及清理、场地夯实及回填、木质模具构建及组装、水泥搅拌及铺设、水泥平台养护、木质模具拆除及回收、建筑物材料及辅材的运输费（含装卸）、现场施工的搬运费用（含人工）、检测费。</t>
  </si>
  <si>
    <t>60mm混凝土+100mm碎石垫层的地面硬化</t>
  </si>
  <si>
    <t>低压220V</t>
  </si>
  <si>
    <t>低压架空/附挂10mm²（乙供）</t>
  </si>
  <si>
    <t>1）工程量：材料费包含低压电力线缆主材费（乙供）或不含低压电力线缆主材费（甲供）、接续金具、绝缘子、固定横担及抱箍和施工所需辅材；施工费包含低压电力线缆敷设、横担定位及安装费或管道（电缆沟）通道疏通费用、低压电力线缆检测费、主辅材的运输费（含装卸）、现场施工的搬运费（含人工）。
空电力电缆线路应与钢绞线模块配合使用。
2）此模块适用于低压绝缘导线或电力电缆沿构建物（水泥杆或墙体或桥梁结构）附挂敷设、低压电力电缆穿电力管道或电缆沟敷设、桥架内敷设、直埋段敷设。</t>
  </si>
  <si>
    <t>适用于JKLGYJ-1kV-10/2mm²×2或JKLYJ-1kV-10mm²×2或YJLV22-0.6/1kV-2×10mm²的低压电力线缆（乙供）。</t>
  </si>
  <si>
    <t>定额子目调整，工程量调整</t>
  </si>
  <si>
    <t>低压架空/附挂16mm²（乙供）</t>
  </si>
  <si>
    <t>适用于JKLGYJ-1kV-16/3mm²×2或JKLYJ-1kV-16mm²×2或YJLV22-0.6/1kV-2×16mm²的低压电力线缆（乙供）。</t>
  </si>
  <si>
    <t>低压架空/附挂25mm²（乙供）</t>
  </si>
  <si>
    <t>适用于JKLGYJ-1kV-25/4mm²×2或JKLYJ-1kV-25mm²×2或YJLV22-0.6/1kV-2×25mm²或YJLV22-0.6/1kV-4×25mm²的低压电力线缆（乙供）。</t>
  </si>
  <si>
    <t>低压架空/附挂35mm²（乙供）</t>
  </si>
  <si>
    <t>适用于JKLGYJ-1kV-35/6mm²×2或JKLYJ-1kV-35mm²×2或YJLV22-0.6/1kV-2×35mm²的低压电力线缆（乙供）。</t>
  </si>
  <si>
    <t>低压架空/附挂50mm²（乙供）</t>
  </si>
  <si>
    <t>适用于JKLGYJ-1kV-50/8mm²或JKLYJ-1kV-50mm²、YJLV22-0.6/1kV-2×50mm²或YJLV22-0.6/1kV-4×50mm²的低压电力线缆（乙供）。</t>
  </si>
  <si>
    <t>低压架空/附挂70mm²（乙供）</t>
  </si>
  <si>
    <t>适用于JKLGYJ-1kV-70/10mm²×2或JKLYJ-1kV-70mm²×2或YJLV22-0.6/1kV-2×70mm²的低压电力线缆（乙供）。</t>
  </si>
  <si>
    <t>低压架空/附挂70mm²及以下（甲供）</t>
  </si>
  <si>
    <t>适用于JKLGYJ-1kV-10/2~70/10mm²或JKLYJ-1kV-10~70mm²或JKYJ-1kV-10~70mm²、YJLV22-0.6/1kV-2×10~2×70mm²的低压电力线缆（甲供）。</t>
  </si>
  <si>
    <t>低压380V</t>
  </si>
  <si>
    <t>1）工程量：材料费包含低压电力线缆主材费（乙供）或不含低压电力线缆主材费（甲供）、接续金具、绝缘子、固定横担及抱箍和施工所需辅材；施工费包含低压电力线缆敷设、横担定位及安装费或管道（电缆沟）通道疏通费用、低压电力线缆检测费、主辅材的运输费（含装卸）、现场施工的搬运费（含人工）。
2）此模块适用于低压绝缘导线或电力电缆沿构建物（水泥杆或墙体或桥梁结构）附挂敷设、低压电力电缆穿电力管道或电缆沟敷设、桥架内敷设、直埋段敷设。</t>
  </si>
  <si>
    <t>适用于JKLGYJ-1kV-10/2mm²×4或JKLYJ-1kV-10mm²×4或YJLV22-0.6/1kV-4×10mm²的低压电力线缆（乙供）。</t>
  </si>
  <si>
    <t>适用于JKLGYJ-1kV-16/3mm²×4或JKLYJ-1kV-16mm²×4或YJLV22-0.6/1kV-4×16mm²的低压电力线缆（乙供）。</t>
  </si>
  <si>
    <t>适用于JKLGYJ-1kV-25/4mm²×4或JKLYJ-1kV-25mm²×4或YJLV22-0.6/1kV-4×25mm²的低压电力线缆（乙供）。</t>
  </si>
  <si>
    <t>适用于JKLGYJ-1kV-35/6mm²×4或JKLYJ-1kV-35mm²×4或YJLV22-0.6/1kV-4×35mm²的低压电力线缆（乙供）。</t>
  </si>
  <si>
    <t>适用于JKLGYJ-1kV-50/8mm²×4或JKLYJ-1kV-50mm²×4或YJLV22-0.6/1kV-4×50mm²的低压电力线缆（乙供）。</t>
  </si>
  <si>
    <t>适用于JKLGYJ-1kV-70/10mm²×4或JKLYJ-1kV-70mm²×4或YJLV22-0.6/1kV-4×70mm²的低压电力线缆（乙供）。</t>
  </si>
  <si>
    <t>适用于JKLGYJ-1kV-10/2~70/10mm²×4或JKLYJ-1kV-10~70mm²×4或JKYJ-1kV-10~70mm²×4或YJLV22-0.6/1kV-4×10~4×70mm²或YJLV22-0.6/1kV-4×10~4×70mm²的低压电力线缆（甲供）。</t>
  </si>
  <si>
    <t>低压</t>
  </si>
  <si>
    <t>低压线路钢吊线敷设</t>
  </si>
  <si>
    <t>工程量：材料费包含钢绞线本体、横担及抱箍、联结金具及施工所需辅材；施工费包含钢绞线敷设、固定、横担及抱箍定位固定安装、主辅材运输费（含装卸）、搬运费（含人工）。仅采用架空电缆敷设时与此模块复用。</t>
  </si>
  <si>
    <t>钢绞线规格型号不低于GJ-50mm2</t>
  </si>
  <si>
    <t>低压线路钢吊线或配电箱体接地装置</t>
  </si>
  <si>
    <t>符合电力公司及建设单位要求。</t>
  </si>
  <si>
    <t>低压电力线缆套管（电力PE管或CPVC管）</t>
  </si>
  <si>
    <t>工程量：材料费包含电力PE管或CPVC管、管材固定卡扣及施工所需辅材；施工费包含PE管或CPVC管定位及安装固定费、主辅材运输费（含装卸）、施工现场搬运费（含人工）。电力PE管或CPVC管的内径不应小于电缆外径的1.5倍，适用于低压电力线路上墙或上杆增设保护套管；不含线缆材料及施工费用。可与电力线缆模块复用，均按实际需求长度结算。</t>
  </si>
  <si>
    <t>PE管或CPVC管直径不低于DN32，壁厚3mm</t>
  </si>
  <si>
    <t>高压低压</t>
  </si>
  <si>
    <t>高低压电力线缆套管（热镀锌钢管）</t>
  </si>
  <si>
    <t>工程量：材料费包含镀锌钢管、钢管固定及施工所需辅材；施工费包含镀锌钢管定位及安装固定费、主辅材运输费（含装卸）、施工现场搬运费（含人工）。保护钢管的内径不应小于电缆外径的1.5倍：1）电缆引入和引出建筑物和构筑物的基础、楼板和穿过墙体等处； 2）电缆通过道路和有可能受到机械损伤的场景； 3）电缆引出地面2m至地下0.2m处的一段和人容易接触使电缆可能受到机械损伤的地方。适用于高低电力电缆上下杆（按3.5米/处计取）、低压电力电缆上墙或沿墙敷设（按实际需求长度计取）。此模块不含线缆材料及施工费用，可与电力线缆模块复用，均按实际需求长度结算。</t>
  </si>
  <si>
    <t>镀锌钢管直径不低于DN50，壁厚不应小于5mm；镀锌钢管上下杆敷设（按3.5米/处计取）、低压电力电缆上墙或沿墙敷设（按实际需求长度计取）</t>
  </si>
  <si>
    <t>高低压电力电缆地埋开挖及回填</t>
  </si>
  <si>
    <t>工程量：材料费包含水泥盖板、回填细沙、电缆入地标志桩或标志牌及施工所需辅材；包含施工场地土方开挖回填及夯实、场地平整及清理、余土外运、细沙换填、盖板敷设、电缆标注桩或标识牌安装。此模块不含线缆材料及施工费用；可与高低压电力线缆模块复用，均按实际需求长度结算。</t>
  </si>
  <si>
    <t>地埋开挖深度不低于0.7米；农耕地埋开挖深度不宜低于1米</t>
  </si>
  <si>
    <t>新增高低压电力电缆管道（排管）</t>
  </si>
  <si>
    <t>工程量：材料费包含两根MPP管或CPVC管（管径不低于φ110）、一根七孔梅花管、细沙、管枕固定的水泥制品、混凝土、电缆入地标志桩或标志牌及施工所需辅材；施工费包含施工场地平整及清理、土方开挖及回填、两根管材及一根七孔梅花管定位及敷设、场地夯实及回填、水泥搅拌及铺设、主辅材运输费（含装卸）、现场施工搬运费（含人工）。此模块不含线缆材料及施工费用；可与高低压电力线缆模块复用，均按实际需求长度结算。</t>
  </si>
  <si>
    <t>排管材料可为CPVC、HDPE、MPP、涂塑钢管或玻璃钢管，排管直径不低于φ110，壁厚度要求为：涂塑钢管要求不小于4mm；其他非金属管道，应用在行车道的要求壁厚不小于8mm，应用在行人道的要求壁厚不小于5mm。</t>
  </si>
  <si>
    <t>定额子目调整，工程量调整，材料价格调整</t>
  </si>
  <si>
    <t>新增高低压电力电缆管道（顶管）</t>
  </si>
  <si>
    <t>工程量：材料费包含两根MPP管（管径不低于φ110）、电缆入地标志桩或标志牌及施工所需辅材；施工费包含顶管施工场地布置及挖填、顶管位置定位及施工、主辅材运输费（含装卸）、现场施工搬运费（含人工）。此模块不含线缆材料及施工费用；可与高低压电力线缆模块复用，均按实际需求长度结算。</t>
  </si>
  <si>
    <t>高低压电力电缆工作井（适用于排管或顶管）</t>
  </si>
  <si>
    <t>工程量：材料费包含构建高（低）压电缆进（出）线工作井所需的建筑材料（水、砖、角钢、水泥盖板、水泥、黄砂、碎石、塑料管）、钢筋以及施工所需辅材；施工费、高（低）压电缆进（出）线工作井施工费、土方开挖及回填费、主辅材运输费（含装卸）、余土外运费（含装卸）、现场施工搬运费（含人工）。此模块不含线缆材料及施工费用；可与新增电力电缆管道模块复用，均按实际需求长度结算。</t>
  </si>
  <si>
    <t>水泥杆增高架</t>
  </si>
  <si>
    <t>工程量：材料费包含镀锌角钢、镀锌扁钢、固定螺栓及施工所需辅材；施工费包含电杆增高架构件安装及焊接、螺栓固定、增高架成本安装、主辅材运输费（含装卸）、现场施工搬运费（含人工）。此模块不含线缆材料及施工费用。</t>
  </si>
  <si>
    <t>角钢不低于∠63×5；扁钢不低于-40×4；抱箍尺寸以符合现场实际需求为准；符合电力公司及建设单位要求。</t>
  </si>
  <si>
    <t>φ190mm×9m电杆（适用于低压线路）</t>
  </si>
  <si>
    <t>工程量：材料费包含水泥杆本体、杆号牌及施工所需辅材；施工费包含电杆复测分坑、土方开挖及回填、电杆组立、杆号牌安装、主辅材运输费（含装卸）、现场施工搬运费（含人工）</t>
  </si>
  <si>
    <t>电杆型号不低于预应力锥形水泥杆，φ190mm×9米×K级，按需装设设底盘、卡盘。</t>
  </si>
  <si>
    <t>φ190mm×10m电杆（适用于低压线路）</t>
  </si>
  <si>
    <t>电杆型号不低于预应力锥形水泥杆，φ190mm×10米×K级，按需装设设底盘、卡盘。分段法兰式</t>
  </si>
  <si>
    <t>φ190mm×12m电杆（适用于高、低压线路）</t>
  </si>
  <si>
    <t>电杆型号不低于预应力锥形水泥杆，φ190mm×12米×K级，按需装设设底盘、卡盘。分段法兰式</t>
  </si>
  <si>
    <t>φ190mm×15m电杆（适用于高、低压线路）</t>
  </si>
  <si>
    <t>电杆型号不低于预应力锥形水泥杆，φ190×15×K，按需装设设底盘、卡盘。分段法兰式</t>
  </si>
  <si>
    <t>拉线制作安装</t>
  </si>
  <si>
    <t>工程量：材料费包含镀锌钢绞线、拉线绝缘子、拉线抱箍、UT线夹、拉盘、拉线保护筒、镀锌铁丝以及施工所需辅材；施工费包含拉线制作及安装、绝缘子安装、拉盘安装、土方开挖回填及夯实、主辅材运输费（含装卸）、现场施工搬运费（含人工）、</t>
  </si>
  <si>
    <t>低压线路拉线绝缘子型号不低于XP-40、高压线路拉线绝缘子型号不低于XP-70；钢绞线型号不低于GJ-50mm2、拉盘型号不低于800×400×150mm。</t>
  </si>
  <si>
    <t>高压（10kV）电力用户产权分界配电箱</t>
  </si>
  <si>
    <t>工程量：材料费包含用户产权分界配电箱本体（箱体包含电表、负控终端、接线盒或空开，接线）、固定横担及抱箍以及施工所需辅材；施工费包含配电箱定位安装及固定、引电接入、电表及负控终端施工费、各项调测及其它规范要求工作量、主辅材运输费（含装卸）、现场施工搬运费（含人工）。</t>
  </si>
  <si>
    <t>由当地供电部门确定为准</t>
  </si>
  <si>
    <t>低压（380V/220V）用户产权分界配电箱（直供）</t>
  </si>
  <si>
    <t>低压（380V/220V）用户产权分界配电箱（转供）</t>
  </si>
  <si>
    <t>工程量：材料费包含用户产权分界配电箱本体（箱体包含电表、接线盒或空开、接线）、固定横担及抱箍以及施工所需辅材；施工费包含配电箱定位安装及固定、引电接入、电表施工费、各项调测及其它规范要求工作量、主辅材运输费（含装卸）、现场施工搬运费（含人工）。</t>
  </si>
  <si>
    <t>具体以当地供电部门及转供电业主供电要求为准；</t>
  </si>
  <si>
    <t>低压用户终端交流配电箱</t>
  </si>
  <si>
    <t>工程量：配电箱提供及内装设备的安装（箱体包含空开，接线、防雷SPD）、配电箱固定及安装铁附件，各项调测及其它规范要求工作量。</t>
  </si>
  <si>
    <t>按台计取，规格容量不低于380V/100A或220V/100A。配电箱包含：空开、铜排、防雷器、油机转换开关。</t>
  </si>
  <si>
    <t>配电变压器及附属设施拆除</t>
  </si>
  <si>
    <t>工程量：包括变压器及配套设备的拆除费，将拆的变压器及配套设备运输回公司仓库或指定地点运输费用、施工现场清理。本模块仅适用于新增电力线路时附带电力线路拆除的场景。</t>
  </si>
  <si>
    <t>具体拆除内容以现场实际为准。</t>
  </si>
  <si>
    <t>高低压电力线路线缆本体拆除</t>
  </si>
  <si>
    <t>十米</t>
  </si>
  <si>
    <t>工程量：包含高低压线缆拆除、代办销户、拆旧物资返库运输费，长度以路由距离为准。如高压线路需带电作业拆除时，需据实计列。本模块仅适用于新增电力线路时附带电力线路拆除的场景。按实际拆除路由长度结算。</t>
  </si>
  <si>
    <t>高低压电力线缆（线缆截面70mm2及以下）拆除</t>
  </si>
  <si>
    <t>高低压架空电力线路电杆拆除</t>
  </si>
  <si>
    <t>工程量：包括电杆及附属装置的拆除费，将旧电杆（可用电杆拆回仓库经检测受损不结算拆除费用）及附属装置运输回公司仓库或指定地点运输费用。如现场报废拆除，乘以0.5系数。本模块仅适用于新增电力线路时附带电力线路拆除的场景。</t>
  </si>
  <si>
    <t>如现场报废拆除，乘以0.5系数。</t>
  </si>
  <si>
    <t>电杆拉线或钢吊线拆除</t>
  </si>
  <si>
    <t>工程量：拉线（钢绞线）或钢吊线及辅材（固定金具、绝缘子、铁附件）拆除费；拆除物资返库的运输费。本模块仅适用于新增电力线路时附带电力线路拆除的场景；高低压拉线均按10米/组拆除；具体结算以实际拆除量为准。本模块仅适用于新增电力线路时附带电力线路拆除的场景。</t>
  </si>
  <si>
    <t>拉线组或钢吊线（钢绞线截面70mm2及以下）拆除</t>
  </si>
  <si>
    <t>低压配电箱或产权分界箱拆除</t>
  </si>
  <si>
    <t>工程量：含低压交流配电箱或电力用户产权分界配电箱拆除、配电箱进出线及管道、箱体接地及固定铁附件拆除；拆除物资返库的运输费。本模块仅适用于新增电力线路时附带电力线路拆除的场景。</t>
  </si>
  <si>
    <t>低压交流配电箱或产权用户配电箱拆除</t>
  </si>
  <si>
    <t>φ150mm×7m电杆（适用于低压线路）</t>
  </si>
  <si>
    <t>电杆型号不低于预应力锥形水泥杆，φ150mm×7米×G级。</t>
  </si>
  <si>
    <t>电网技术改造工程预算定额（2020年版）第三册 架空线路工程》</t>
  </si>
  <si>
    <t>φ150mm×8m电杆（适用于低压线路）</t>
  </si>
  <si>
    <t>电杆型号不低于预应力锥形水泥杆，φ150mm×8米×G级。</t>
  </si>
  <si>
    <t>φ150mm×9m电杆（适用于低压线路）</t>
  </si>
  <si>
    <t>电杆型号不低于预应力锥形水泥杆，φ150mm×9米×G级。</t>
  </si>
  <si>
    <t>人力搬运模块</t>
  </si>
  <si>
    <t>吨*百米</t>
  </si>
  <si>
    <t>工程量：因施工场地狭小或因交通道路条件较差使得运输车辆难以直接到达指定地点，而需要通过人力或牲畜进行第二次转运及装卸所产生的费用；所需搬运的主设备材料包括电力杆塔、预制水泥制品（含卡盘、拉盘、底盘）、绝缘子、金具、铁附件、电力线缆、高低压配电设施（含配电变压器、低压综合配电箱、低压交流配电箱、避雷器、跌落式熔断器、真空断路器、隔离开关、负荷开关以）以及其他；运输材料总重量按一公里电力线路三十吨计取</t>
  </si>
  <si>
    <t>搬运距离计算：按电力线路实际引电路由长度为基准乘以0.5的系数后取整；仅适用于架空线路（含电杆）部分的二次搬运。</t>
  </si>
  <si>
    <t>注：按1km人力搬运进行测算。</t>
  </si>
  <si>
    <t>物料名称</t>
  </si>
  <si>
    <t>模块描述</t>
  </si>
  <si>
    <t>备注</t>
  </si>
  <si>
    <t>区域系数1.0</t>
  </si>
  <si>
    <t>区域系数1.05</t>
  </si>
  <si>
    <t>区域系数1.1</t>
  </si>
  <si>
    <t>区域系数1.15</t>
  </si>
  <si>
    <t>区域系数1.2</t>
  </si>
  <si>
    <t>区域系数1.3</t>
  </si>
  <si>
    <t>红河/文山</t>
  </si>
  <si>
    <t>曲靖、保山</t>
  </si>
  <si>
    <t>文山（文山市、马关、丘北、砚山）、玉溪</t>
  </si>
  <si>
    <t>红河、大理、文山（广南、西畴、富宁、麻栗坡）、楚雄、临沧、丽江</t>
  </si>
  <si>
    <t>昭通、德宏</t>
  </si>
  <si>
    <t>昆明、普洱、版纳</t>
  </si>
  <si>
    <t>迪庆、怒江</t>
  </si>
  <si>
    <t>普洱</t>
  </si>
  <si>
    <t>不含增值税基准价（不含安全生产费）</t>
  </si>
  <si>
    <t>不含增值税安全生产费</t>
  </si>
  <si>
    <t>不含增值税合计</t>
  </si>
  <si>
    <t>增值税税率</t>
  </si>
  <si>
    <t>施工-宏站-新建-塔基-独立基础/筏板基础-各类土</t>
  </si>
  <si>
    <t>独立基础、筏板基础（各类土）</t>
  </si>
  <si>
    <t>各类土</t>
  </si>
  <si>
    <t>元/立方米</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</si>
  <si>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从开工至结束，一次性整体清运，不含必须要多次清运情况)、场地清理、、工程用水用电；
2、以上报价基础混凝土标号为C30，垫层混凝土标号为C15，具体以塔基设计图纸为准；
3、垫层混凝土工程量不计总工程量中结算（单价中已含垫层混凝土价格，总工程量中不再单独结算，但施工单位需完成垫层施工）；
4、单价中含材料、施工器械车辆运输费；不含地网施工费、二次搬运费、地基处理（淤泥、软土、杂填土等）费；
5、每“立方米”综合报价指的是基础混凝土方量；
6、地脚螺栓预埋件需到指定地点领取后安装；
7、该模块适用于在开挖深度范围内不存在各类岩石层的情况（全风化岩层按土层记取），对应岩土勘察报告；</t>
  </si>
  <si>
    <t>余土余泥外运（从开工至结束，一次性整体清运，不含必须要多次清运情况)</t>
  </si>
  <si>
    <t>施工-宏站-新建-塔基-独立基础/筏板基础-土+各类岩石</t>
  </si>
  <si>
    <t>独立基础、筏板基础（土+各类岩石）</t>
  </si>
  <si>
    <t>土+各类岩石</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</si>
  <si>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且分层夯实，回填土重度不得小于17KN/m3)、余土余泥外运（从开工至结束，一次性整体清运，不含必须要多次清运情况)、场地清理、工程用水用电；
2、以上报价基础混凝土标号为C30，垫层混凝土标号为C15，具体以塔基设计图纸为准；
3、垫层混凝土工程量不计总工程量中结算（单价中已含垫层混凝土价格，总工程量中不再单独结算，但施工单位需完成垫层施工）；
4、单价中含材料、施工器械车辆运输费；不含地网施工费、二次搬运费、地基处理（淤泥、软土、杂填土等）费；
5、每“立方米”综合报价指的是基础混凝土方量；
6、地脚螺栓预埋件需到指定地点领取后安装；
7、该模块适用于在开挖深度范围内存在某种或多种岩石层的情况（全风化岩层按土层记取），不计土层和岩层的比例，对应岩土勘察报告；</t>
  </si>
  <si>
    <t>施工-宏站-新建-塔基-人工挖孔桩-各类土</t>
  </si>
  <si>
    <t>人工挖孔桩（各类土）</t>
  </si>
  <si>
    <t>1、适用于人工挖孔灌注桩基础，按“立方米”综合报价，包工包料，包括：放线定位、平整场地、桩孔开挖、现浇混凝土护壁、钢筋笼制作安装、地脚螺栓运输安装（地脚螺栓甲供）、桩身混凝土浇筑、余土外运（从开工至结束，一次性整体清运，不含必须要多次清运情况)、桩孔通风、场地清理、工程用水用电；
2、以上报价桩身（含护壁）以混凝土标号为C30，具体以塔基设计图纸为准；
3、总工程量为桩顶到封底混凝土底部之间的混凝土量，含护壁混凝土；
4、单价中含材料、施工器械、车辆运输费；不含地网施工费、二次搬运费；
5、每“立方米”综合报价指的是基础混凝土方量（含护壁）；
6、地脚螺栓预埋件需到指定地点领取后安装；
7、该模块适用于在开挖深度范围内不存在各类岩石层的情况（全风化岩层按土层记取），对应岩土勘察报告；</t>
  </si>
  <si>
    <t>施工-宏站-新建-塔基-人工挖孔桩-土+各类岩石</t>
  </si>
  <si>
    <t>人工挖孔桩（土+各类岩石）</t>
  </si>
  <si>
    <t>1、适用于人工挖孔灌注桩基础，按“立方米”综合报价，包工包料，包括：放线定位、平整场地、桩孔开挖、现浇混凝土护壁、钢筋笼制作安装、地脚螺栓运输安装（地脚螺栓甲供）、桩身混凝土浇筑、余土外运（从开工至结束，一次性整体清运，不含必须要多次清运情况)、桩孔通风、场地清理、工程用水用电；
2、以上报价桩身（含护壁）以混凝土标号为C30，具体以塔基设计图纸为准；
3、总工程量为桩顶到封底混凝土底部之间的混凝土量，含护壁混凝土；
4、单价中含材料、施工器械、车辆运输费；不含地网施工费、二次搬运费；
5、每“立方米”综合报价指的是基础混凝土方量（含护壁）；
6、地脚螺栓预埋件需到指定地点领取后安装；
7、该模块适用于在开挖深度范围内存在一种或多种岩石层的情况（全风化岩层按土层记取），对应岩土勘察报告；</t>
  </si>
  <si>
    <t>施工-宏站-新建-塔基-机械钻孔桩-15-30m3</t>
  </si>
  <si>
    <t>机械钻孔桩</t>
  </si>
  <si>
    <t>1、适用于机械钻孔桩基础，不含“钻孔桩机械一次性进场和调遣费”，按“立方米”综合报价，包工包料，包括：放线定位、平整场地、机械钻孔（包括钻孔机械台班）、钢护筒埋设及拆除、泥浆护壁、钢筋笼制作安装、地脚螺栓运输安装（地脚螺栓甲供）、桩身混凝土浇筑、泥浆外运（从开工至结束，一次性整体清运，不含必须要多次清运情况)、场地清理、工程用水用电；
2、以上报价桩身以混凝土标号为C30，具体以塔基设计图纸为准；
3、总工程量为桩顶到封底混凝土底部之间的混凝土量；
4、不含地网施工费、二次搬运费；
5、每“立方米”综合报价指的是基础混凝土方量；
6、地脚螺栓预埋件需到指定地点领取后安装；</t>
  </si>
  <si>
    <t>施工-宏站-新建-塔基-锚杆基础或楼面基础-岩石-中等/微风化</t>
  </si>
  <si>
    <t>锚杆基础（中、微风化岩石）</t>
  </si>
  <si>
    <t>1、适用于锚杆基础，按“根”综合报价，包工包料；工作内容包括：放线定位、平整场地、基坑开挖、钻孔清孔、锚杆施工、基础钢筋制作绑扎、地脚螺栓运输安装（地脚螺栓甲供）、支模浇筑基础混凝土、混凝土养护、基坑回填（应清除杂土，用素土回填并分层夯实，回填土重度不得小于17KN/m3)、余土余泥外运、场地清理、工程用水用电；
2、锚杆施工参考做法：包括在中风化（或微风化）岩石中钻孔，钻孔深度3m以内，钻孔直径100mm左右，钻孔后应先清孔，清孔完毕，放入HRB400钢筋，钢筋直径不小于25mm，长度应根据图纸确定，放置好钢筋后采用C35细石混凝土灌浆，内掺10%膨胀剂；具体做法以图纸为准；
3、按照锚杆的根数计价；对于采用化学螺栓固定于岩石的，每个塔脚按1个锚杆基础结算；
4、单价中含材料、施工器械、车辆运输费；不含地网施工费、二次搬运费；
5、地脚螺栓预埋件需到指定地点领取后安装；</t>
  </si>
  <si>
    <t>施工-宏站-新建-塔基-地面钢结构基础</t>
  </si>
  <si>
    <t>地面钢结构基础</t>
  </si>
  <si>
    <t>元/吨</t>
  </si>
  <si>
    <t>包工包料，适用于地面塔，一体化机柜、彩钢板房、一体化机房的钢结构基础，含场地平整、材料费、运输费、安装费（含化学锚栓及材料的施工费用）、二次搬运费、混凝土包封，具体以设计图纸为准。按新增钢结构重量计价。</t>
  </si>
  <si>
    <t>施工-宏站-新建-塔基-小方量砼基础</t>
  </si>
  <si>
    <t>小方量砼基础</t>
  </si>
  <si>
    <t>5立方米及以下</t>
  </si>
  <si>
    <t>1、包工包料，适用于混凝土方量在5立方米及以下（含小型地面塔、地面拉线塔、地面增高架、地面支撑杆、H杆塔、彩钢板房、美化机房混凝土基础）；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从开工至结束，一次性整体清运，不含必须要多次清运情况)、场地清理、工程用水用电；
2、以上报价基础混凝土标号为C30，垫层混凝土标号为C15，具体以设计图纸为准；
3、垫层混凝土工程量不计总工程量中结算（单价中已含垫层混凝土价格，总工程量中不再单独结算，但施工单位需完成垫层施工）；
4、单价中含材料、施工器械车辆运输费；不含地网施工费、二次搬运费、地基处理（淤泥、软土、杂填土等）费；
5、每“立方米”综合报价指的是基础混凝土方量；
6、地脚螺栓预埋件需到指定地点领取后安装；
7、该模块不区分基础开挖范围内的岩层或土层，均可使用；方量超过5立方米，按筏板基础模块进行结算。</t>
  </si>
  <si>
    <t>施工-宏站-新建-塔基-独立基础/筏板基础-土方开挖</t>
  </si>
  <si>
    <t>基础基坑开挖</t>
  </si>
  <si>
    <t>1、适用于单独计算基坑开挖的场景；内容包含：放线定位、平整场地、基坑开挖、回填夯实，余土余泥外运（从开工至结束，一次性整体清运，不含必须要多次清运情况)。
2、按开挖方量计取。</t>
  </si>
  <si>
    <t>施工-宏站-新建-机房(柜)土建-砖混机房-小于或等于15m2-含装修</t>
  </si>
  <si>
    <t>土建（砖混）机房（含装修）</t>
  </si>
  <si>
    <t>机房净空面积小于或等于15平方米</t>
  </si>
  <si>
    <t>元/平方米</t>
  </si>
  <si>
    <t>1、适用于净空面积小于或等于15平方米的砖混机房，包工包料，含平整场地、土方开挖、垫层、混凝土量（含带形基础、柱、圈梁、压顶、有梁板、雨篷、过梁）、钢筋、电力传输引入管、砖墙、铺设地砖、踢脚、屋面防水保温、天棚、墙面粉刷、台阶、防火防盗门、灯具、开关、插座、管线、防盗笼、通风系统安装、门禁系统安装（含布线）、室内走线架（含接地及接地线缆）、室内地排、室外地排、馈线窗、地排接地引入扁钢及地排间连接线缆（总地排到二级地排的线缆）、电池保温箱，需满足铁塔公司技术规范要求，以及按国家标准的要求，具体以设计为准；
2、含机房新建地网，不含二次搬运费；
3、按机房净空面积计取。</t>
  </si>
  <si>
    <t>施工-宏站-新建-机房(柜)土建-砖混机房-大于15m2-含装修</t>
  </si>
  <si>
    <t>机房净空面积大于15平方米</t>
  </si>
  <si>
    <t>1、适用于净空面积大于15平方米的砖混机房，包工包料，含平整场地、土方开挖、垫层、混凝土量（含带形基础、柱、圈梁、压顶、有梁板、雨篷、过梁）、钢筋、电力传输引入管、砖墙、铺设地砖、踢脚、屋面防水保温、天棚、墙面粉刷、台阶、防火防盗门、灯具、开关、插座、管线、防盗笼、通风系统安装、门禁系统安装（含布线）、室内走线架（含接地及接地线缆）、室内地排、室外地排、馈线窗、地排接地引入扁钢及地排间连接线缆（总地排到二级地排的线缆）、电池保温箱，需满足铁塔公司技术规范要求，以及按国家标准的要求，具体以设计为准；
2、含机房新建地网，不含二次搬运费；
3、按机房净空面积计取。</t>
  </si>
  <si>
    <t>施工-宏站-新建-机房(柜)土建-一体化机柜基础-按机柜基础投影面积</t>
  </si>
  <si>
    <t>一体化机柜基础</t>
  </si>
  <si>
    <t>按基础面积计价</t>
  </si>
  <si>
    <t>包工包料，适用于地面一体化机柜混凝土基础，按面积“平方米”综合计价。工作内容含：定位放线、土方开挖、素土夯实、预埋管材、预埋接地扁钢、钢筋绑扎、支模浇筑混凝土、混凝土养护、场地清理、用水用电。具体以设计为准。</t>
  </si>
  <si>
    <t>施工-宏站-新建-塔基-地基处理-碎石换填</t>
  </si>
  <si>
    <t>地基处理（砂石换填）</t>
  </si>
  <si>
    <t>1、适用于因地质条件原因，地基需采用地基处理（挖土方、外运废弃土、购买级配砂石回填）产生的建设以外的附加费用，含定位放线，土方开挖、砂石运输、砂石换填、弃土外运、夯实处理、场地整平；
2、按砂石换填方量计取，单位“立方米”。
3、以地勘报告原有土质不满足承载力为准，不包含施工原因造成承载力不足而换填的情况。</t>
  </si>
  <si>
    <t>按换填方式定义模块，给换了碎石换填的物料编码</t>
  </si>
  <si>
    <t>施工-宏站-新建-塔基-地基处理-回填土</t>
  </si>
  <si>
    <t>地基处理（素土换填）</t>
  </si>
  <si>
    <t>适用于现场为不良土质，需在施工地点以外额外购买土方、运土回填的情况，含土方开挖、素土回填夯实、弃土外运、场地平整，按回填土方量计取，单位“立方米”。</t>
  </si>
  <si>
    <t>按换填方式定义模块</t>
  </si>
  <si>
    <t>施工-宏站-新建-机房(柜)土建-毛石挡墙/护坡</t>
  </si>
  <si>
    <t>毛石挡墙、护坡</t>
  </si>
  <si>
    <t>适用于毛石挡墙、护坡，按“立方米”计价，包括：材料、运输、挖土、毛石砌筑、1:1水泥砂浆勾缝、回填土、场地清理、泄水孔排水措施、二次搬运费。按新建挡墙、护坡体积计取；</t>
  </si>
  <si>
    <t>施工-宏站-新建-机房(柜)土建-排降水-按台班</t>
  </si>
  <si>
    <t>排降水</t>
  </si>
  <si>
    <t>元/台班</t>
  </si>
  <si>
    <t>按“台班”计价，一个台班按连续抽水8个小时，发电机功率50KW，水泵出口直径200mm;
可按实际水泵直径计算出水面积折算成模块对应的台班；</t>
  </si>
  <si>
    <t>施工-宏站-新建-机房(柜)土建-土建围墙</t>
  </si>
  <si>
    <t>土建围墙</t>
  </si>
  <si>
    <t>土建围墙包括：定位放线、场地整平、基坑挖土、基础混凝土（含垫层）、回填土、余土外运、砖围墙砌筑、墙面粉刷、1:1水泥砂浆勾缝、防盗大门、场地清理、二次搬运费。要求围墙圈梁以上砌体高度不低于2米。按新建围墙长度“米”计价。</t>
  </si>
  <si>
    <t>施工-宏站-新建-机房(柜)土建-手孔</t>
  </si>
  <si>
    <t>手孔</t>
  </si>
  <si>
    <t>适用于新建手井，按“个”计价，含定位放线、场地整平、土方开挖、碎石垫层、细石混凝土抹面、混凝土、砖砌体、混凝土盖板、镀锌钢管、余土外运，具体以设计图纸为准。</t>
  </si>
  <si>
    <t>施工-宏站-新建-机房(柜)土建-混凝土挡墙/护坡-按混凝土量</t>
  </si>
  <si>
    <t>混凝土挡墙、护坡</t>
  </si>
  <si>
    <t>适用于混凝土挡墙、护坡，按“立方米”报价，包括：定位放线、场地整平、土方开挖、钢筋混凝土浇筑、支模、回填土、反滤包、场地清理、泄水孔排水措施、运输费。</t>
  </si>
  <si>
    <t>施工-宏站-新建-机房(柜)土建-地面硬化</t>
  </si>
  <si>
    <t>地面硬化（地坪）</t>
  </si>
  <si>
    <t>适用于混凝土地坪，按“平方米”综合报价，工作内容包括：100mm厚碎石垫层、支模浇筑C25混凝土地坪、路面养护，C25砼面层60mm厚，具体以设计为准。</t>
  </si>
  <si>
    <t>施工-宏站-新建-机房(柜)土建-一体化机柜-防盗铁笼</t>
  </si>
  <si>
    <t>一体化机柜防盗铁笼</t>
  </si>
  <si>
    <t>适用于一体化机柜防盗铁笼，按外表面积计价，单位“平方米”综合报价，包含防盗笼材料、制作、运输、安装（含化学螺栓锚固）。</t>
  </si>
  <si>
    <t>施工-宏站-新建-机房(柜)土建-排水沟</t>
  </si>
  <si>
    <t>排水沟</t>
  </si>
  <si>
    <t>适用于混凝土排水沟，按“米”综合报价，工作内容包括：沟槽开挖、支模浇筑混凝土排水沟底和壁、沟槽回填（应清除杂土，用碎石掺入适量粘土回填且分层夯实，回填土重度不得小于17KN/m3)，余土外运、场地清理。</t>
  </si>
  <si>
    <t>施工-宏站-新建-机房(柜)土建-钢制围栏</t>
  </si>
  <si>
    <t>钢制围栏</t>
  </si>
  <si>
    <t>适用于钢制围栏，按“米”综合报价，包括：定位放线、场地整平、土方开挖、混凝土、回填土、余土外运、场地清理、运输费、二次搬运费、2米高铁质栏杆围墙、大门、所有金属构件均刷防锈漆两遍后再刷蓝色调和漆两遍，要求围栏高度不低于2米。</t>
  </si>
  <si>
    <t>施工-宏站-改造-机房(柜)土建-机房配件安装-接地母线改造</t>
  </si>
  <si>
    <t>接地母线</t>
  </si>
  <si>
    <t>1、接地母线（40*4热镀锌扁钢）:包含接地母线材料、加工、运输、二次搬运、场地清理、沟槽开挖回填、敷设、焊接、防腐处理；
2、按扁钢长度计价；</t>
  </si>
  <si>
    <t>施工-宏站-改造-机房(柜)土建-搭接地网-接地极</t>
  </si>
  <si>
    <t>接地极</t>
  </si>
  <si>
    <t>1、接地极（50*5热镀锌角钢或热镀锌钢管）:每根2.5米。包含主材及辅料价格，含材料、加工、运输、二次搬运、场地清理、沟槽开挖回填、接地极打入地下、焊接、防腐处理；
2、按根计价；</t>
  </si>
  <si>
    <t>施工-宏站-新建-塔基-基坑支护-钢制护筒</t>
  </si>
  <si>
    <t>钢护筒</t>
  </si>
  <si>
    <t>包工包料，针对挖孔时，大量地下水涌出、孔壁塌陷、流砂等需要用钢护筒支护的情况；含材料、加工、制作、运输、吊装、安装费用；按钢材重量计价；</t>
  </si>
  <si>
    <t>施工-宏站-存量整治-铁塔-拉线塔整治-拉线更换-按数量</t>
  </si>
  <si>
    <t>地面塔拉线更换</t>
  </si>
  <si>
    <t>拉线更换，拉线采用镀锌钢绞线，钢绞线紧固上端采用NX-2型线夹，下端采用NUTF-2型可调线夹。包含拆除原有拉线后更换新拉线、利旧原有拉锚点，含材料、加工、制作、运输、安装费用；适用于地面塔。</t>
  </si>
  <si>
    <t>施工-宏站-改造-塔基-基础加固-现浇基础-地面塔-拉线地锚</t>
  </si>
  <si>
    <t>地面塔拉线拉锚新增</t>
  </si>
  <si>
    <t>地面塔拉线和拉锚新增。新增符合甲方要求的拉线，拉线采用镀锌钢绞线，钢绞线紧固上端采用NX-2型线夹，下端采用NUTF-2型可调线夹。新增拉锚板可采用预制混凝土式，每根拉线对应一个拉锚，单个锚板面积不小于0.64㎡，厚度不小于250，埋深不小于2米；含材料、运输、搬运、土方开挖，回填平整、安装费用。</t>
  </si>
  <si>
    <t>施工-宏站-改造-铁塔-新增支臂-2-3m(含)</t>
  </si>
  <si>
    <t>增加支臂（支臂长度2米及以上）</t>
  </si>
  <si>
    <t>支臂长度2米及以上，包含材料、加工、安装、机械台班、运输、二次搬运等费用。适用于地面塔和楼面塔改造加支臂。</t>
  </si>
  <si>
    <t>施工-宏站-改造-铁塔-配套物资新增-配件支臂-2m以下</t>
  </si>
  <si>
    <t>增加支臂（支臂长度2米以下）</t>
  </si>
  <si>
    <t>支臂长度2米以下，包含材料、加工、安装、机械台班、运输、二次搬运等费用。适用于地面塔和楼面塔改造加支臂。</t>
  </si>
  <si>
    <t>施工-宏站-存量整治-铁塔-拆除附件</t>
  </si>
  <si>
    <t>地面塔美化外罩、灯杆灯具、平台护栏、广告牌拆除</t>
  </si>
  <si>
    <t>适用于塔身附属结构（包括美化罩、灯杆灯具、塔身平台、护栏及广告牌）的拆除，清理现场并运输到指定仓库；按站计取费用；暴力拆除不结算费用。</t>
  </si>
  <si>
    <t>施工-宏站-存量整治-铁塔-连接构件整治-铁塔构件更换-按重量</t>
  </si>
  <si>
    <t>铁塔构件更换或补充</t>
  </si>
  <si>
    <t>铁塔构件更换、补充、新增，含地面塔和楼面塔；
1、构件缺失、变形、损伤的更换及新增；
2、加装或更换与原铁塔等尺寸、强度的构件（补齐构件不允许现场焊接）；
3、紧固螺栓达到预力要求。
4、单价含构件测量、加工、镀锌、运输、安装费用。</t>
  </si>
  <si>
    <t>施工-宏站-新建-铁塔-利旧铁塔安装-简易塔-9-40m</t>
  </si>
  <si>
    <t>简易塔利旧安装</t>
  </si>
  <si>
    <t>将已经拆完的或从指定地点领取的地面拉线塔、H杆、地面支撑杆安装完成；含补件（包括连接螺栓及少量缺失的杆件）、运输、安装、搬运、垂直度测量；不含拆除费用和预埋件费用；搬迁之前先确认塔材完整性；按塔高计取费用。</t>
  </si>
  <si>
    <t>施工-宏站-存量整治-铁塔-利旧铁塔安装-桁架塔</t>
  </si>
  <si>
    <t>桁架塔利旧安装</t>
  </si>
  <si>
    <t>将已经拆完的或从指定地点领取的地面增高架、三管塔、四管塔、角钢塔安装完成；含补件（包括连接螺栓及少量缺失的杆件）、运输、安装、机械、搬运、垂直度测量；不含拆除费用和预埋件费用；搬迁之前先确认塔材完整性；按塔高计取费用。</t>
  </si>
  <si>
    <t>施工-宏站-存量整治-铁塔-利旧铁塔安装-单管塔/景观塔</t>
  </si>
  <si>
    <t>管塔类利旧安装</t>
  </si>
  <si>
    <t>将已经拆完的或从指定地点领取的灯杆塔、单管塔、景观塔、仿生树等安装完成；含补件（包括连接螺栓及少量缺失的杆件）、运输、安装、机械、搬运、垂直度测量；不含拆除费用和预埋件费用；搬迁之前先确认塔材完整性；按塔高计取费用。</t>
  </si>
  <si>
    <t>施工-宏站-改造-铁塔-铁塔安装-一体化塔房-利旧</t>
  </si>
  <si>
    <t>塔房一体化利旧安装</t>
  </si>
  <si>
    <t>将已经拆完的或从指定地点领取的塔房一体化（含机房、预制基础）安装完成；含补件（包括连接螺栓及少量缺失的杆件）、运输、安装、机械、搬运、垂直度测量；不含拆除费用和预埋件费用；搬迁之前先确认塔材完整性；按塔高计取费用。</t>
  </si>
  <si>
    <t>施工-宏站-改造-铁塔-配套物资新增-踏板</t>
  </si>
  <si>
    <t>增加脚踏平台</t>
  </si>
  <si>
    <t>适用于单管类塔加脚踏平台，含踏脚平台材料、加工、镀锌、运输、搬运、安装费用。</t>
  </si>
  <si>
    <t>施工-宏站-改造-铁塔-新增铁塔爬梯</t>
  </si>
  <si>
    <t>增加塔身外爬梯</t>
  </si>
  <si>
    <t>针对内爬塔，在塔身外侧新增爬梯的情况；对爬梯进行定制安装（抱箍式）。含材料、加工、镀锌、运输、搬运、安装费用；按爬梯长度记取费用。</t>
  </si>
  <si>
    <t>施工-宏站-存量整治-铁塔-铁塔拆除-落地拉线塔</t>
  </si>
  <si>
    <t>简易塔拆除</t>
  </si>
  <si>
    <t>包含落地拉线塔、H杆、地面支撑杆的拆除、运输（运回指定地点）、搬运。不得暴力拆除，损毁构件需修复完好，确保可以二次搬迁使用。</t>
  </si>
  <si>
    <t>施工-宏站-存量整治-铁塔-铁塔拆除-管塔类</t>
  </si>
  <si>
    <t>管塔类地面塔拆除</t>
  </si>
  <si>
    <t>包含灯杆塔、单管塔、景观塔、仿生树拆除、运输（运回指定地点）、搬运。不得暴力拆除，损毁构件需修复完好，确保可以二次搬迁使用。</t>
  </si>
  <si>
    <t>施工-宏站-存量整治-铁塔-铁塔拆除-桁架塔</t>
  </si>
  <si>
    <t>桁架类地面塔拆除</t>
  </si>
  <si>
    <t>包含地面增高架、三管塔、角钢塔拆除、运输（运回指定地点）、搬运。不得暴力拆除，损毁构件需修复完好，确保可以二次搬迁使用。</t>
  </si>
  <si>
    <t>施工-宏站-改造-铁塔-铁塔拆除-一体化塔房-40m(含)以下</t>
  </si>
  <si>
    <t>一体化塔房拆除</t>
  </si>
  <si>
    <t>包含一体化塔房、集装箱拆除、运输（运回指定地点）、搬运。集装箱拆除包含原集装箱基础的搬运和恢复。不得暴力拆除，损毁构件需修复完好，确保可以二次搬迁使用。</t>
  </si>
  <si>
    <t>施工-宏站-新建-施工总承包-铁塔-配套物资安装-GPS抱杆</t>
  </si>
  <si>
    <t>GPS抱杆新增</t>
  </si>
  <si>
    <t>增加GPS抱杆，含GPS抱杆施工以及必要的材料、搬运、安装费用。</t>
  </si>
  <si>
    <t>施工-宏站-存量整治-铁塔-新增支臂-利旧</t>
  </si>
  <si>
    <t>利旧支臂安装</t>
  </si>
  <si>
    <t>将已经拆完的或从指定地点领取的支臂安装完成，含补件、运输、安装费用。</t>
  </si>
  <si>
    <t>施工-宏站-新建-塔基-预制基础安装</t>
  </si>
  <si>
    <t>预制基础</t>
  </si>
  <si>
    <t>用于地面和楼面钢筋混凝土预制基础，含制作、加工、运输、搬运、吊装、安装费用，含预埋件的埋设、基础底面找平的有关工作；混凝土等级C30以上，具体以设计为准，按方量进行结算。</t>
  </si>
  <si>
    <t>施工-宏站-改造-塔基-二次浇注-按站</t>
  </si>
  <si>
    <t>二次浇筑</t>
  </si>
  <si>
    <t>1、塔基二次浇筑以每“站”综合报价，包工包料，工作内容包括：材料、运输（含二次搬运）、支模、排水管预埋、对地脚法兰盘与基础顶面之间的空隙用C35微膨胀细石混凝土进行二次浇筑、混凝土养护、二次上站模板拆除、混凝土强度测量；
2、以上报价二次浇筑混凝土标号以C35为准，具体详塔基设计图纸。</t>
  </si>
  <si>
    <t>施工-宏站-新建-铁塔-铁塔拆除-配件支臂</t>
  </si>
  <si>
    <t>拆除老旧抱杆</t>
  </si>
  <si>
    <t>适用于将塔身上的支臂拆除、运输（运回指定地点）、搬运。不得暴力拆除，损毁构件需修复完好，确保可以二次搬迁使用。</t>
  </si>
  <si>
    <t>施工-二次搬运-塔基-山区丘陵-100m(含)以下</t>
  </si>
  <si>
    <t>基础二次搬运</t>
  </si>
  <si>
    <t>高差100m(含)以下</t>
  </si>
  <si>
    <t>元/（立方米*公里）</t>
  </si>
  <si>
    <t>按基础方量和搬运距离计价；从运输车辆不能行驶的地点算起，必需要通过人力、畜力方式进行二次或多次的转运到达施工地点之间的搬运距离，不足100m不记取二次搬运费用，超过100m（含）按实际距离记取；适用于搬运高差小于等于100米，搬运高差按搬运起点和终点的海拔差。</t>
  </si>
  <si>
    <t>施工-二次搬运-塔基-山区丘陵-100-200m</t>
  </si>
  <si>
    <t>高差100-200m(含)</t>
  </si>
  <si>
    <t>按基础方量和搬运距离计价；从运输车辆不能行驶的地点算起，必需要通过人力、畜力方式进行二次或多次的转运到达施工地点之间的搬运距离，不足100m不记取二次搬运费用，超过100m（含）按实际距离记取；适用于搬运高差100~200米，搬运高差按搬运起点和终点的海拔差。</t>
  </si>
  <si>
    <t>施工-二次搬运-塔基-山区丘陵-200m(含)以上</t>
  </si>
  <si>
    <t>高差200m以上</t>
  </si>
  <si>
    <t>按基础方量和搬运距离计价；从运输车辆不能行驶的地点算起，必需要通过人力、畜力方式进行二次或多次的转运到达施工地点之间的搬运距离，不足100m不记取二次搬运费用，超过100m（含）按实际距离记取；适用于搬运高差200米以上，搬运高差按搬运起点和终点的海拔差。</t>
  </si>
  <si>
    <t>施工-宏站-存量整治-机房(柜)土建-机房零星整治-室内走线架安装</t>
  </si>
  <si>
    <t>安装室内走线架</t>
  </si>
  <si>
    <t>包工包料，走线架的材料（含铜弯角、汇流条）、安装、运输、二次搬运。</t>
  </si>
  <si>
    <t>施工-宏站-新建-机房(柜)土建-新增室外走线架</t>
  </si>
  <si>
    <t>安装室外走线架</t>
  </si>
  <si>
    <t>施工-宏站-新建-塔基-一次性进场和调遣费-300km以上</t>
  </si>
  <si>
    <t>一次性进场和调遣费</t>
  </si>
  <si>
    <t>300km以上</t>
  </si>
  <si>
    <t>调遣费：施工调遣费（300公里以上），施工站点位置与铁塔地市办公地点距离((距离取值采用地图导航最近线路距离截图作为依据)大于300公里，同一项目涉及不同施工单位可分别记取。
不与其它档距的调遣费同时计取，可与二搬模块同时计取。</t>
  </si>
  <si>
    <t>施工-宏站-新建-塔基-一次性进场和调遣费-200-300km(含)</t>
  </si>
  <si>
    <t>200-300km(含)</t>
  </si>
  <si>
    <t>调遣费：施工调遣费（200公里至300公里），施工站点位置与铁塔地市办公地点距离((距离取值采用地图导航最近线路距离截图作为依据)200~300公里，同一项目涉及不同施工单位可分别记取。
不与其它档距的调遣费同时计取，可与二搬模块同时计取。</t>
  </si>
  <si>
    <t>施工-宏站-新建-塔基-一次性进场和调遣费-100-200km(含)</t>
  </si>
  <si>
    <t>100-200km(含)</t>
  </si>
  <si>
    <t>调遣费：施工调遣费（100公里至200公里），施工站点位置与铁塔地市办公地点距离((距离取值采用地图导航最近线路距离截图作为依据)100~200公里，同一项目涉及不同施工单位可分别记取。
不与其它档距的调遣费同时计取，可与二搬模块同时计取。</t>
  </si>
  <si>
    <t>施工-宏站-新建-塔基-一次性进场和调遣费-35-100km(含)</t>
  </si>
  <si>
    <t>35-100km(含)</t>
  </si>
  <si>
    <t>调遣费：施工调遣费（35公里至100公里），施工站点位置与铁塔地市办公地点距离((距离取值采用地图导航最近线路距离截图作为依据)35~100公里，同一项目涉及不同施工单位可分别记取。
不与其它档距的调遣费同时计取，可与二搬模块同时计取。</t>
  </si>
  <si>
    <t>施工-宏站-新建-塔基-锚杆基础或楼面基础-楼面锚固基础-化学螺栓</t>
  </si>
  <si>
    <t>楼面锚固基础（化学螺栓）</t>
  </si>
  <si>
    <t>1、包工包料，锚固式屋面站基础使用,含材料、运输、场地平整、化学螺栓施工、防水层恢复、塔脚混凝土包封、楼面清理、二次搬运的工作内容。
2、按根计价，增高架按3根计量，立杆按1根计量。</t>
  </si>
  <si>
    <t>施工-宏站-新建-塔基-地网新建-搭接地网</t>
  </si>
  <si>
    <t>搭接地网</t>
  </si>
  <si>
    <t>楼面站</t>
  </si>
  <si>
    <t>包工包料。适用于楼顶有完好的避雷带的情况，楼面塔与避雷带进行可靠焊接，含镀锌扁钢、敷设、防腐处理。</t>
  </si>
  <si>
    <t>施工-宏站-改造-机房(柜)土建-屋顶防水及凿锚/植筋-防水</t>
  </si>
  <si>
    <t>防水整治</t>
  </si>
  <si>
    <t>包工包料，防水处理区域基层清理、防水卷材（涂料）铺设。</t>
  </si>
  <si>
    <t>施工-二次搬运-铁塔-6层以上楼层</t>
  </si>
  <si>
    <t>楼面站二次搬运</t>
  </si>
  <si>
    <t>6层以上楼层，不允许使用电梯、吊车无法进场的（不含6层）</t>
  </si>
  <si>
    <t>6层以上楼层，不允许使用电梯、吊车无法进场的楼面站，需要人力或其它方式进行二次或多次的转运到达施工地点之间的距离，多次搬运不重复计算距离，6层（含）以内不计费，超过6层记取相应模块（适用于楼面杆塔和基础）。</t>
  </si>
  <si>
    <t>施工-宏站-改造-铁塔-新增/更换附件-楼面塔-拉线新增或加固</t>
  </si>
  <si>
    <t>楼面站新增拉线加固</t>
  </si>
  <si>
    <t>楼面增高架、立杆、美化方柱、美化水桶及各类有拉线的楼面塔，新增拉线、金具、锚固件、拉线处美化罩开孔、小方量混凝土、防水修复、安装、运输、搬运。拉线采用镀锌钢绞线（1×7×3.0），钢绞线上下端采用线夹紧固。本模块包含拉线下端与房屋的固定点施工。一根拉线在房屋上应独立设置一个固定拉点。</t>
  </si>
  <si>
    <t>施工-宏站-改造-铁塔-美化天线改造-楼面塔-美化天线外罩拆除</t>
  </si>
  <si>
    <t>楼面美化天线外罩拆除</t>
  </si>
  <si>
    <t>包含楼面美化水桶、美化方柱、水立方外罩及钢结构拆除、运输（运回指定地点）、搬运、现场清理。按拆除的美化外罩表面积计价。</t>
  </si>
  <si>
    <t>施工-宏站-改造-铁塔-楼面塔加固-塔桅结构加固</t>
  </si>
  <si>
    <t>楼面塔桅结构加固</t>
  </si>
  <si>
    <t>楼面塔桅塔身结构加固，新增支撑、连接构件、化学螺栓施工、包封混凝土、防水修复、安装、运输、搬运；按新增钢材重量计价。</t>
  </si>
  <si>
    <t>施工-宏站-改造-铁塔-楼面塔加固-塔脚加固</t>
  </si>
  <si>
    <t>楼面塔脚加固</t>
  </si>
  <si>
    <t>楼面塔桅塔脚加固，含新增材料、加工、包封混凝土、化学锚栓施工、防水修复、安装、运输、搬运，按加固主杆数量记取。</t>
  </si>
  <si>
    <t>施工-宏站-新建-机房(柜)土建-零星施工-爬梯新增-4m以下</t>
  </si>
  <si>
    <t>新增楼面爬梯（长度4米以内）</t>
  </si>
  <si>
    <t>楼面无上人爬梯，新增爬梯。含材料、运输、搬运、安装、楼面清理、防水恢复；4米以内，按根计价。</t>
  </si>
  <si>
    <t>施工-宏站-新建-机房(柜)土建-爬梯安装-爬梯新增-4m以上-每增加1m</t>
  </si>
  <si>
    <t>新增楼面爬梯（长度4米以外每增加1米）</t>
  </si>
  <si>
    <t>楼面无上人爬梯，新增爬梯。含材料、运输、搬运、安装、楼面清理、防水恢复；4米部分按固定价格，超出4米以外的部分，按每米计价；</t>
  </si>
  <si>
    <t>施工-宏站-改造-铁塔-铁塔搬迁-楼面塔-按塔高</t>
  </si>
  <si>
    <t>楼面塔拆除</t>
  </si>
  <si>
    <t>适用于楼面增高架、楼面塔拆除，含拆除、运输（运回指定地点）、搬运、楼面清理及防水恢复。不得暴力拆除，损毁构件需修复完好，确保可以二次搬迁使用。</t>
  </si>
  <si>
    <t>施工-宏站-改造-铁塔-铁塔安装/拆除-楼面抱杆/立杆-拆除</t>
  </si>
  <si>
    <t>楼面抱（立）杆拆除</t>
  </si>
  <si>
    <t>适用于楼面立杆、抱杆拆除，含拆除、运输（运回指定地点）、搬运、楼面清理及防水恢复。不得暴力拆除，损毁构件需修复完好，确保可以二次搬迁使用。</t>
  </si>
  <si>
    <t>施工-宏站-改造-机房(柜)土建-机房改造-防盗门安装或更换</t>
  </si>
  <si>
    <t>防盗门安装或更换</t>
  </si>
  <si>
    <t>包工包料，包含防盗门材料、拆除、安装、替换、二次搬运。</t>
  </si>
  <si>
    <t>施工-宏站-改造-机房(柜)土建-机房(机柜)搬迁-拆除</t>
  </si>
  <si>
    <t>机房拆除搬运</t>
  </si>
  <si>
    <t>适用于楼面铁甲机房及活动板房，包含机房（辅材）拆除、人工费、机械台班、机械使用费、搬运费、转运费、运输费（运输至指定地点）、现场清理、防水修复。</t>
  </si>
  <si>
    <t>施工-宏站-新建-机房(柜)土建-彩钢板房/一体化机房基础-混凝土楼面基础-按混凝土量</t>
  </si>
  <si>
    <t>彩钢板房、一体化机房基础</t>
  </si>
  <si>
    <t>适用于楼面机房做圈梁基础；包工包料，按混凝土方量计价；含屋面的清扫、20厚水泥砂浆找平、3厚改性沥青防水涂料、3厚APP改性沥青防水卷材、20厚水泥砂浆找平、铺设600*600防滑地砖的材料、人工费、机械台班、运输、二次搬运，适用于楼面彩钢板房、一体化机房。</t>
  </si>
  <si>
    <t>施工-宏站-新建-机房(柜)土建-基础-楼面站-一体化机柜</t>
  </si>
  <si>
    <t>一体化机柜基础（楼面站）</t>
  </si>
  <si>
    <t>适用于楼面一体化机柜混凝土基础，含材料费、加工费、制作费、运输费、施工费、楼面整平、预埋管材、地网搭接（与楼顶完好的避雷带焊接，防腐处理，含设计图之外搭接用的镀锌扁钢）、二次搬运费、楼面清理及防水恢复；按混凝土基础面积计价。</t>
  </si>
  <si>
    <t>小方量砼基础（楼面站）</t>
  </si>
  <si>
    <t>1、适用于楼面塔桅的现浇混凝土基础,包括：含材料费、加工费、制作费、运输费、施工费、楼面整平、预埋管材、二次搬运费、楼面清理及防水恢复；
2、混凝土量在5立方米及以下。</t>
  </si>
  <si>
    <t>施工-宏站-新建-塔基-楼顶钢结构基础(含钢梁)</t>
  </si>
  <si>
    <t>楼面钢结构基础</t>
  </si>
  <si>
    <t>适用于楼面钢结构基础，含钢结构基础连接构件、基础摆放前场地的整平处理，含材料费、加工费、制作费、运输费、安装费（含化学螺栓及其施工）、地网搭接（与楼顶完好的避雷带焊接，防腐处理，含设计图之外搭接用的镀锌扁钢）、混凝土包封、综合运保费、二次搬运费、楼面清理及防水恢复；按钢结构重量计价；</t>
  </si>
  <si>
    <t>施工-宏站-新建-铁塔-铁塔安装-楼面抱杆-6m以下-第1个</t>
  </si>
  <si>
    <t>6米以下立杆抱杆安装费（第一个）</t>
  </si>
  <si>
    <t>适用于楼面抱杆立杆（6米以下）第1个，厂家负责楼面整平、二次搬运费、安装费（含化学螺栓及其施工）、地网搭接（与楼顶完好的避雷带焊接，防腐处理，含设计图之外搭接用的镀锌扁钢）、塔脚混凝土包封、楼面清理及防水恢复，按新建楼面抱杆立杆的个数计价；</t>
  </si>
  <si>
    <t>仅用于利旧安装楼面杆塔，非新建</t>
  </si>
  <si>
    <t>施工-宏站-新建-铁塔-铁塔安装-楼面抱杆-6m以下-每增加1个</t>
  </si>
  <si>
    <t>6米以下立杆抱杆安装费（每增加一个）</t>
  </si>
  <si>
    <t>适用于楼面抱杆立杆（6米以下）第2个及之后每增加1个，厂家负责楼面整平、二次搬运费、安装费（含化学螺栓及其施工）、地网搭接（与楼顶完好的避雷带焊接，防腐处理，含设计图之外搭接用的镀锌扁钢）、塔脚混凝土包封、楼面清理及防水恢复，按新建楼面抱杆立杆的个数计价；</t>
  </si>
  <si>
    <t>施工-宏站-新建-铁塔-铁塔安装-楼面抱杆-6m(含)以上-附墙式-第1个</t>
  </si>
  <si>
    <t>6米及以上抱杆安装费（第一个）</t>
  </si>
  <si>
    <t>适用于楼面抱杆（6米（含）以上）第1个，厂家负责楼面整平、二次搬运费、安装费（含化学螺栓及其施工）、地网搭接（与楼顶完好的避雷带焊接，防腐处理，含设计图之外搭接用的镀锌扁钢）、塔脚混凝土包封、楼面清理及防水恢复，按新建楼面抱杆的个数计价；</t>
  </si>
  <si>
    <t>施工-宏站-新建-铁塔-铁塔安装-楼面抱杆-6m(含)以上-附墙式-每增加1个</t>
  </si>
  <si>
    <t>6米及以上抱杆安装费（每增加一个）</t>
  </si>
  <si>
    <t>适用于楼面抱杆（6米（含）以上）第2个及之后每增加一个，厂家负责楼面整平、二次搬运费、安装费（含化学螺栓及其施工）、地网搭接（与楼顶完好的避雷带焊接，防腐处理，含设计图之外搭接用的镀锌扁钢）、塔脚混凝土包封、楼面清理及防水恢复，按新建楼面抱杆的个数计价；</t>
  </si>
  <si>
    <t>施工-宏站-新建-铁塔-铁塔安装-楼面抱杆-6m(含)以上-自立式-第1个</t>
  </si>
  <si>
    <t>6米及以上立杆安装费（第一个）</t>
  </si>
  <si>
    <t>适用于楼面立杆（6米（含）以上）第1个，厂家负责楼面整平、二次搬运费、安装费（含化学螺栓及其施工）、地网搭接（与楼顶完好的避雷带焊接，防腐处理，含设计图之外搭接用的镀锌扁钢）、塔脚混凝土包封、楼面清理及防水恢复，按新建楼面立杆的个数计价；</t>
  </si>
  <si>
    <t>施工-宏站-新建-铁塔-铁塔安装-楼面抱杆-6m(含)以上-自立式-每增加1个</t>
  </si>
  <si>
    <t>6米及以上立杆安装费（每增加一个）</t>
  </si>
  <si>
    <t>适用于楼面立杆（6米（含）以上）第2个及之后每增加1个，厂家负责楼面整平、二次搬运费、安装费（含化学螺栓及其施工）、地网搭接（与楼顶完好的避雷带焊接，防腐处理，含设计图之外搭接用的镀锌扁钢）、塔脚混凝土包封、楼面清理及防水恢复，按新建楼面抱杆立杆的个数计价；</t>
  </si>
  <si>
    <t>施工-宏站-新建-铁塔-铁塔安装-楼面增高架-9m</t>
  </si>
  <si>
    <t>安装费（9米增高架）</t>
  </si>
  <si>
    <t>适用于楼面9米增高架、楼面拉线塔；厂家负责楼面整平、二次搬运费、安装费（含化学螺栓及其施工）、地网搭接（与楼顶完好的避雷带焊接，防腐处理，含设计图之外搭接用的镀锌扁钢）、塔脚混凝土包封、楼面清理及防水恢复，按新建楼面增高架的个数计价；</t>
  </si>
  <si>
    <t>施工-宏站-新建-铁塔-铁塔安装-楼面增高架-12m</t>
  </si>
  <si>
    <t>安装费（12米增高架）</t>
  </si>
  <si>
    <t>适用于楼面12米增高架，厂家负责楼面整平、二次搬运费、安装费（含化学螺栓及其施工）、地网搭接（与楼顶完好的避雷带焊接，防腐处理，含设计图之外搭接用的镀锌扁钢）、塔脚混凝土包封、楼面清理及防水恢复，按新建楼面增高架的个数计价；</t>
  </si>
  <si>
    <t>施工-宏站-新建-铁塔-铁塔安装-楼面美化天线外罩-6m(含)以下-方柱型-第1个</t>
  </si>
  <si>
    <t>美化方柱、美化水桶安装费（第一个）</t>
  </si>
  <si>
    <t>适用于楼面美化方柱、美化水桶、美化空调室外机、美化栅栏的第1个，厂家负责楼面整平、二次搬运费、安装费（含化学螺栓及其施工）、地网搭接（与楼顶完好的避雷带焊接，防腐处理，含设计图之外搭接用的镀锌扁钢）、塔脚混凝土包封、楼面清理及防水恢复，按新建楼面美化塔的个数计价；</t>
  </si>
  <si>
    <t>施工-宏站-新建-铁塔-铁塔安装-楼面美化天线外罩-6m(含)以下-方柱型-每增加1个</t>
  </si>
  <si>
    <t>美化方柱、美化水桶安装费（每增加一个）</t>
  </si>
  <si>
    <t>适用于楼面美化方柱、美化水桶、美化空调室外机、美化栅栏的第2个及之后每增加一个，厂家负责楼面整平、二次搬运费、安装费（含化学螺栓及其施工）、地网搭接（与楼顶完好的避雷带焊接，防腐处理，含设计图之外搭接用的镀锌扁钢）、塔脚混凝土包封、楼面清理及防水恢复，按新建楼面美化塔的个数计价；</t>
  </si>
  <si>
    <t>施工-宏站-新建-铁塔-铁塔安装-楼面美化天线外罩-6m(含)以下-水箱型</t>
  </si>
  <si>
    <t>美化水立方安装费</t>
  </si>
  <si>
    <t>适用于楼面美化水立方，厂家负责楼面整平、二次搬运费、安装费（含化学螺栓及其施工）、地网搭接（与楼顶完好的避雷带焊接，防腐处理，含设计图之外搭接用的镀锌扁钢）、塔脚混凝土包封、楼面清理及防水恢复，按新建楼面美化塔的个数计价；</t>
  </si>
  <si>
    <t>施工-宏站-新建-租赁机房装修-地砖铺设</t>
  </si>
  <si>
    <t>新增瓷砖</t>
  </si>
  <si>
    <t>适用于塔基、机房基础、机柜基础等露出地面部分，贴瓷砖进行美化；含材料、运输、基础表面清理、砂浆抹面、瓷砖固定、勾缝、养护；瓷砖型号、颜色以分公司的要求为准；按新增瓷砖的面积计价，单位“元/平方米”。</t>
  </si>
  <si>
    <t>水泥杆塔-拉线式-9m-0.35kN/m2-抱杆总数1个-无平台/支架-间距0m-外法兰-外爬梯-1.2t-0层</t>
  </si>
  <si>
    <t>9米水泥杆-拉线式单杆（1付抱杆）-不含水泥平台</t>
  </si>
  <si>
    <t>包工包料，含9米水泥杆及附属材料费、安装费（含拉线拉锚、开挖回填、C30混凝土基础），新增水泥杆地网，安装一根天线支臂并接地，杆顶安装避雷针，新增电杆脚踏踩（抱箍固定），距地1.5米，布置到杆顶。具体以图纸为准。不含二次搬运费、协调费、赔补费。</t>
  </si>
  <si>
    <t>水泥杆塔-拉线式-12m-0.35kN/m2-抱杆总数1个-无平台/支架-间距0m-外法兰-外爬梯-1.5t-0层</t>
  </si>
  <si>
    <t>12米水泥杆-拉线式单杆（1付抱杆）-不含水泥平台</t>
  </si>
  <si>
    <t>包工包料，含12米水泥杆及附属材料费、安装费（含拉线拉锚、开挖回填、C30混凝土基础），新增水泥杆地网，安装一根天线支臂并接地，杆顶安装避雷针，新增电杆脚踏踩（抱箍固定），距地1.5米，布置到杆顶。具体以图纸为准。不含二次搬运费、协调费、赔补费。</t>
  </si>
  <si>
    <t>水泥杆塔-自立式-9m-0.35kN/m2-抱杆总数1个-无平台/支架-间距0m-外法兰-外爬梯-1.1t-0层</t>
  </si>
  <si>
    <t>9米水泥杆-自立式单杆（1付抱杆）-不含水泥平台</t>
  </si>
  <si>
    <t>包工包料，含9米水泥杆及附属材料费、安装费（含开挖回填、C30混凝土基础），新增水泥杆地网，安装一根天线支臂并接地，杆顶安装避雷针，新增电杆脚踏踩（抱箍固定），距地1.5米，布置到杆顶。具体以图纸为准。不含二次搬运费、协调费、赔补费。</t>
  </si>
  <si>
    <t>水泥杆塔-自立式-12m-0.35kN/m2-抱杆总数1个-无平台/支架-间距0m-外法兰-外爬梯-1.4t-0层</t>
  </si>
  <si>
    <t>12米水泥杆-自立式单杆（1付抱杆）-不含水泥平台</t>
  </si>
  <si>
    <t>包工包料，含12米水泥杆及附属材料费、安装费（含开挖回填、C30混凝土基础），新增水泥杆地网，安装一根天线支臂并接地，杆顶安装避雷针，新增电杆脚踏踩（抱箍固定），距地1.5米，布置到杆顶。具体以图纸为准。不含二次搬运费、协调费、赔补费。</t>
  </si>
  <si>
    <t>水泥杆塔-自立式-12m-0.35kN/m2-抱杆总数3个-一层支架-间距0m-外法兰-外爬梯-1.213t-1层</t>
  </si>
  <si>
    <t>12米水泥杆-自立式单杆（3付抱杆）-不含水泥平台</t>
  </si>
  <si>
    <t>包工包料，含12米水泥杆及附属材料费、安装费（含开挖回填、C30混凝土基础），新增水泥杆地网，安装三根天线支臂并接地，杆顶安装避雷针，新增电杆脚踏踩（抱箍固定），距地1.5米，布置到杆顶。具体以图纸为准。不含二次搬运费、协调费、赔补费。</t>
  </si>
  <si>
    <t>水泥杆塔-自立式-15m-0.35kN/m2-抱杆总数3个-一层支架-间距0m-外法兰-外爬梯-1.543t-1层</t>
  </si>
  <si>
    <t>15米水泥杆-自立式单杆（3付抱杆）-不含水泥平台</t>
  </si>
  <si>
    <t>包工包料，含15米水泥杆及附属材料费、安装费（含开挖回填、C30混凝土基础），新增水泥杆地网，安装三根天线支臂并接地，杆顶安装避雷针，新增电杆脚踏踩（抱箍固定），距地1.5米，布置到杆顶。具体以图纸为准。不含二次搬运费、协调费、赔补费。</t>
  </si>
  <si>
    <t>新增地面简易塔型-单管塔</t>
  </si>
  <si>
    <t>适用于新建地面简易塔(单管塔及地脚螺栓)；含材料、加工、制作、安装、运输、搬运、塔脚包封等费用；按新增钢材重量计价。</t>
  </si>
  <si>
    <t>新增的模块，用于让施工单位供简易塔</t>
  </si>
  <si>
    <t>新增地面简易塔型-非单管塔</t>
  </si>
  <si>
    <t>适用于新建地面简易塔(非单管塔及地脚螺栓)；含材料、加工、制作、安装、运输、搬运、塔脚包封等费用；按新增钢材重量计价。</t>
  </si>
  <si>
    <t>9米水泥杆（梢径150）</t>
  </si>
  <si>
    <t>工程量：材料费包含水泥杆本体、杆号牌及施工所需辅材；施工费包含电杆复测分坑、土方开挖及回填、电杆组立、杆号牌安装、主辅材运输费（含装卸）、施工现内的搬运费(含人工)。电杆型号不低于预应力锥形水泥杆，φ150mm×9米×G级。</t>
  </si>
  <si>
    <t>新增的模块，用于分项结算简易做法的水泥杆</t>
  </si>
  <si>
    <t>9米水泥杆（梢径190）</t>
  </si>
  <si>
    <t>工程量：材料费包含水泥杆本体、杆号牌及施工所需辅材；施工费包含电杆复测分坑、土方开挖及回填、电杆组立、杆号牌安装、主辅材运输费（含装卸）、施工现内的搬运费(含人工)。电杆型号不低于预应力锥形水泥杆，φ190mm×9米×K级。</t>
  </si>
  <si>
    <t>12米水泥杆</t>
  </si>
  <si>
    <t>工程量：材料费包含水泥杆本体、杆号牌及施工所需辅材；施工费包含电杆复测分坑、土方开挖及回填、电杆组立、杆号牌安装、主辅材运输费（含装卸）、施工现内的搬运费(含人工)。电杆型号不低于预应力锥形水泥杆，φ190mm×12米×K级，按需装设设底盘、卡盘，分段法兰式。</t>
  </si>
  <si>
    <t>15米水泥杆</t>
  </si>
  <si>
    <t>工程量：材料费包含水泥杆本体、杆号牌及施工所需辅材；施工费包含电杆复测分坑、土方开挖及回填、电杆组立、杆号牌安装、主辅材运输费（含装卸）、施工现内的搬运费(含人工)。电杆型号不低于预应力锥形水泥杆，φ190×15×K，按需装设设底盘、卡盘，分段法兰式。</t>
  </si>
  <si>
    <t>服务编码</t>
  </si>
  <si>
    <t>不含安全生产费基准价</t>
  </si>
  <si>
    <t>不含税单价</t>
  </si>
  <si>
    <t>分配</t>
  </si>
  <si>
    <t>预算做出的基准价（不含安全生产费）</t>
  </si>
  <si>
    <t>参考分公司意见后优化建议</t>
  </si>
  <si>
    <t>模块使用数量</t>
  </si>
  <si>
    <t>全省</t>
  </si>
  <si>
    <t>塔基施工-独立基础、筏板基础（各类土）各类土30立方米及以下</t>
  </si>
  <si>
    <t>900101020101</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</si>
  <si>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含20公里运距）、场地清理；包含工程用水用电、三通一平的工作内容 ; 
2、以上报价基础混凝土标号以C30为准，垫层混凝土标号以C15为准，具体以塔基设计图纸为准；
3、垫层混凝土工程量不计总工程量中结算（单价中已含垫层混凝土价格，但总工程量中不再单独结算，施工单位需完成垫层施工）；
4、单价中含材料、施工器械车辆运输费；不含地网施工费、二次搬运费；
5、每“立方米”综合报价指的是基础混凝土方量；
6、地脚螺栓预埋件需到指定地点领取后安装；
7、该模块适用于在开挖深度范围内不存在各类岩石层的情况（全风化岩层按土层记取），对应岩土勘察报告；</t>
  </si>
  <si>
    <t>按照一套筏板基础塔基图的总方量进行做预算，除以方量反算一方的单价</t>
  </si>
  <si>
    <t>中通建</t>
  </si>
  <si>
    <t>建议提高价格</t>
  </si>
  <si>
    <t>平整场地方量较大，比如超过筏板基础开挖方量，可单独签证结算；城区市政不允许堆余土，开挖时先外运，回填时再拉回，可单独签证结算</t>
  </si>
  <si>
    <t>塔基施工-独立基础、筏板基础（土+各类岩石）土+各类岩石土30立方米及以下</t>
  </si>
  <si>
    <t>900101020201</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</si>
  <si>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且分层夯实，回填土重度不得小于17KN/m3)，余土余泥外运（含20公里运距）、场地清理；包含工程用水用电、三通一平的工作内容; 
2、以上报价基础混凝土标号以C30为准，垫层混凝土标号以C15为准，具体以塔基设计图纸为准；
3、垫层混凝土工程量不计总工程量中结算（单价中已含垫层混凝土价格，但总工程量中不再单独结算，施工单位需完成垫层施工）；
4、单价中含材料、施工器械车辆运输费；不含地网施工费、二次搬运费；
5、每“立方米”综合报价指的是基础混凝土方量；
6、地脚螺栓预埋件需到指定地点领取后安装；
7、该模块适用于在开挖深度范围内存在某种或多种岩石层的情况（全风化岩层按土层记取），不计土层和岩层的比例，对应岩土勘察报告；</t>
  </si>
  <si>
    <t>按照土层和岩层各50%进行考虑</t>
  </si>
  <si>
    <t>塔基-工程服务新建施工塔基人工挖孔桩（各类土）不限定规格</t>
  </si>
  <si>
    <t>90010102030000000001</t>
  </si>
  <si>
    <t>1、适用于人工挖孔灌注桩基础，按“立方米”综合报价，包工包料，包括：放线定位、平整场地、桩孔开挖、现浇混凝土护壁、钢筋笼制作安装、地脚螺栓运输安装（地脚螺栓甲供）、桩身混凝土浇筑、余土外运（含20公里运距）、场地清理。包含工程用水用电、三通一平的工作内容; 
2、以上报价桩身（含护壁）以混凝土标号C30为准，具体以塔基设计图纸为准；
3、总工程量为桩顶到封底混凝土底部间混凝土量，含护壁混凝土量；
4、单价中含材料、施工器械车辆运输费；不含地网施工费、二次搬运费；
5、每“立方米”综合报价指的是基础混凝土方量（含护壁）；
6、地脚螺栓预埋件需到指定地点领取后安装；
7、该模块适用于在开挖深度范围内不存在各类岩石层的情况（全风化岩层按土层记取），对应岩土勘察报告；</t>
  </si>
  <si>
    <t>按照一套人工挖孔桩塔基图的总方量进行做预算，除以方量反算一方的单价</t>
  </si>
  <si>
    <t>福建院</t>
  </si>
  <si>
    <t>塔基施工-人工挖孔桩（土+各类岩石）土方量15立方米以下</t>
  </si>
  <si>
    <t>900101020402</t>
  </si>
  <si>
    <t>1、适用于人工挖孔灌注桩基础，按“立方米”综合报价，包工包料，包括：放线定位、平整场地、桩孔开挖、现浇混凝土护壁、钢筋笼制作安装、地脚螺栓运输安装（地脚螺栓甲供）、桩身混凝土浇筑、余土外运（含20公里运距）、场地清理。包含工程用水用电、三通一平的工作内容; 
2、以上报价桩身（含护壁）以混凝土标号C30为准，具体以塔基设计图纸为准；
3、总工程量为桩顶到封底混凝土底部间混凝土量，含护壁混凝土量；
4、单价中含材料、施工器械车辆运输费；不含地网施工费、二次搬运费；
5、每“立方米”综合报价指的是基础混凝土方量（含护壁）；
6、地脚螺栓预埋件需到指定地点领取后安装；
7、该模块适用于在开挖深度范围内存在一种或多种岩石层的情况（全风化岩层按土层记取），不计土层和岩层的比例，对应岩土勘察报告；</t>
  </si>
  <si>
    <t>塔基施工-机械钻孔桩土方量15-30立方米</t>
  </si>
  <si>
    <t>土方量15-30立方米</t>
  </si>
  <si>
    <t>900101020501</t>
  </si>
  <si>
    <t>1、适用于机械钻孔桩基础，按“立方米”综合报价，包工包料，包括：放线定位、平整场地、机械钻孔（包括钻孔机械台班）、钢护筒埋设及拆除、泥浆护壁、桩身混凝土浇筑、钢筋笼制作安装、地脚螺栓运输安装（地脚螺栓甲供）、泥浆外运（含20公里运距）、场地清理。包含工程用水用电、三通一平的工作内容; 
2、以上报价桩身以混凝土标号C30为准，具体以塔基设计图纸为准；
3、总工程量为桩顶到封底混凝土底部间混凝土量；
4、单价中含材料、钻孔桩和冲孔桩机械一次性进场和调遣费；不含地网施工费、二次搬运费；
5、每“立方米”综合报价指的是基础混凝土方量（含护壁）；
6、地脚螺栓预埋件需到指定地点领取后安装；</t>
  </si>
  <si>
    <t>按照一套机械桩塔基图的总方量进行做预算，除以方量反算一方的单价，要考虑机械一次性进场和调遣费</t>
  </si>
  <si>
    <t>广东院</t>
  </si>
  <si>
    <t>建议将机械一次性进场和调遣费计入工作内容，并提高模块价格</t>
  </si>
  <si>
    <t>塔基施工-锚杆基础（中等、微风化岩石）</t>
  </si>
  <si>
    <t>900101020600</t>
  </si>
  <si>
    <t>1、适用于锚杆基础，按“根”综合报价，包工包料；工作内容包括：放线定位、平整场地、基坑开挖、钻孔清孔、锚杆施工、基础钢筋制作绑扎、地脚螺栓运输安装（地脚螺栓甲供）、支模浇筑基础混凝土、混凝土养护、基坑回填（应清除杂土，用素土回填并分层夯实，回填土重度不得小于17KN/m3),余土余泥外运（含20公里运距）、场地清理；包含工程用水用电、三通一平的工作内容 ; 
2、锚杆施工参考做法：包括在中风化（或微风化）岩石中钻孔，钻孔深度3m以内，钻孔直径100mm左右，钻孔后应先清孔，清孔完毕，放入HRB400钢筋，钢筋直径不小于25mm，长度应根据图纸确定，放置好钢筋后采用C35细石混凝土灌浆，内掺10%膨胀剂；具体做法以图纸为准；
3、按照锚杆的根数计价；
4、单价中含材料、施工器械车辆运输费；不含地网施工费、二次搬运费；
5、地脚螺栓预埋件需到指定地点领取后安装；</t>
  </si>
  <si>
    <t>按照一套锚杆基础图进行做预算，除以锚杆根数反算一根的单价</t>
  </si>
  <si>
    <t>建议保留模块</t>
  </si>
  <si>
    <t>塔基施工-新建施工塔基地面钢结构基础施工</t>
  </si>
  <si>
    <t>900101022900</t>
  </si>
  <si>
    <t>包工包料，适用于地面塔、一体化机柜、彩钢板房、一体化机房的钢结构基础，含场地平整、材料费、运输费、安装费（含化学锚栓及材料的施工费用）、二次搬运费、混凝土包封，具体以设计图纸为准。按新增钢结构重量计价。</t>
  </si>
  <si>
    <t>按照一套地面钢结构基础图进行做预算，反算1吨钢结构的单价</t>
  </si>
  <si>
    <t>中通服</t>
  </si>
  <si>
    <t>塔基-工程服务新建施工塔基小方量砼基础塔基小方量砼基础，不限制规格，元/立方米</t>
  </si>
  <si>
    <t>90010102080000000001</t>
  </si>
  <si>
    <t>1、包工包料，适用于混凝土方量在5立方米及以下（含小型地面塔、地面拉线塔、地面增高架、地面支撑杆、H杆塔、彩钢板房、美化机房混凝土基础）；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含20公里运距）、场地清理；包含工程用水用电、三通一平的工作内容 ; 
2、以上报价基础混凝土标号以C30为准，垫层混凝土标号以C15为准，具体以塔基设计图纸为准；
3、垫层混凝土工程量不计总工程量中结算（单价中已含垫层混凝土价格，但总工程量中不再单独结算，施工单位需完成垫层施工）；
4、单价中含材料、施工器械车辆运输费；不含地网施工费、二次搬运费；
5、每“立方米”综合报价指的是基础混凝土方量；
6、地脚螺栓预埋件需到指定地点领取后安装；
7、该模块不区分基础开挖范围内的岩层或土层，均可使用；</t>
  </si>
  <si>
    <t>按照一套小型塔的塔基图的总方量进行做预算，除以方量反算一方的单价</t>
  </si>
  <si>
    <t>塔基-工程服务新建施工塔基塔基平原二次搬运按工作量计价公里按塔基方量和搬运距离计价</t>
  </si>
  <si>
    <t>塔基平原二次搬运</t>
  </si>
  <si>
    <t>按塔基方量和搬运距离计价</t>
  </si>
  <si>
    <t>90010102099601000001</t>
  </si>
  <si>
    <t>从机动车辆（含小型农用车及拖拉机）不能行使的地点算起，需要通过人力、畜力方式进行二次或多次的转运到达施工地点之间的人行道路距离，不足100m不记取二次搬运费用，超过100m（含）按实际距离记取。按塔基方量和搬运距离计价；抱杆墩、美化罩基础、拉线桅杆基础不计取二次搬运费；</t>
  </si>
  <si>
    <t>塔基-工程服务新建施工塔基塔基山区丘陵二次搬运按工作量计价海拔3500米以下，按塔基方量和搬运距离计价</t>
  </si>
  <si>
    <t>塔基山区丘陵二次搬运</t>
  </si>
  <si>
    <t>海拔3500米以下，按塔基方量和搬运距离计价</t>
  </si>
  <si>
    <t>90010102109600000023</t>
  </si>
  <si>
    <t>建议调整模块</t>
  </si>
  <si>
    <t>建议不区分海拔3500米以上和以下，可考虑按搬运的海拔差和水平距离两方面进行计价；</t>
  </si>
  <si>
    <t>塔基-工程服务新建施工塔基塔基山区丘陵二次搬运按工作量计价海拔3500米及以上，按塔基方量和搬运距离计价</t>
  </si>
  <si>
    <t>海拔3500米及以上，按塔基方量和搬运距离计价</t>
  </si>
  <si>
    <t>90010102109600000024</t>
  </si>
  <si>
    <t>从机动车辆（含小型农用车及拖拉机）不能行使的地点算起，需要通过人力、畜力方式进行二次或多次的转运到达施工地点之间的人行道路距离，不足100m按100米计费，超过100m（含）按实际距离记取。按塔基方量和搬运距离计价；抱杆墩、美化罩基础、拉线桅杆基础不计取二次搬运费；</t>
  </si>
  <si>
    <t>建议删除模块</t>
  </si>
  <si>
    <t>建议不区分海拔3500米以上和以下</t>
  </si>
  <si>
    <t>塔基-工程服务新建施工塔基独立基础、筏板基础（各类土）开挖基础-土方开挖</t>
  </si>
  <si>
    <t>90010102010000000005</t>
  </si>
  <si>
    <t>1、适用于单独计算基坑开挖的场景；内容包含：放线定位、平整场地、基坑开挖、回填夯实，余土余泥外运。按开挖方量计取。</t>
  </si>
  <si>
    <t>单纯开挖基坑，比如一个需要地埋0.5米的快装塔的基坑开挖可按此结算</t>
  </si>
  <si>
    <t>中讯院</t>
  </si>
  <si>
    <t>建议提高价格至：194.82</t>
  </si>
  <si>
    <t>机房（柜）土建施工-土建（砖混）机房（含装修）机房净空面积小于或等于15平方米</t>
  </si>
  <si>
    <t>900101030101</t>
  </si>
  <si>
    <t>按照一套净面积4*3米的砖混机房进行测算，反算一平米的单价</t>
  </si>
  <si>
    <t>机房（柜）土建施工-土建（砖混）机房（含装修）机房净空面积大于15平方米</t>
  </si>
  <si>
    <t>900101030102</t>
  </si>
  <si>
    <t>按照一套净面积4*5米的砖混机房进行测算，反算一平米的单价</t>
  </si>
  <si>
    <t>机房（柜）土建施工-彩钢板房、一体化机房基础平原地面基础</t>
  </si>
  <si>
    <t>平原地面基础</t>
  </si>
  <si>
    <t>900101030300</t>
  </si>
  <si>
    <t>包工包料，参照铁塔基础整体报价（含材料、预埋管材、人工费、机械台班、运输、二次搬运等）；包含工程不可预见的发电，三通一平等内容；含机房新建地网。垫层混凝土工程量不计总工程量中结算（单价中已含垫层混凝土价格，但总工程量中不再单独结算，施工单位需完成垫层施工）。具体以设计为准。适用于地面活动机房（铁甲机房、美化灯杆机房、彩钢板房）。</t>
  </si>
  <si>
    <t>该模块与“小方量砼基础”模块工作内容类似，建议合并</t>
  </si>
  <si>
    <t>机房（柜）土建施工-彩钢板房、一体化机房基础山区丘陵地面基础</t>
  </si>
  <si>
    <t>山区丘陵地面基础</t>
  </si>
  <si>
    <t>900101030301</t>
  </si>
  <si>
    <t>机房（柜）土建施工-一体化机柜基础按基础面积计价</t>
  </si>
  <si>
    <t>900101030495</t>
  </si>
  <si>
    <t>包工包料，适用于地面一体化机柜混凝土基础，按面积“平方米”综合计价。工作内容含：定位方向、土方开挖、素土夯实，材料、预埋管材、预埋接地扁钢、人工费、机械台班、运输、二次搬运费、用水用电、三通一平。具体以设计为准。</t>
  </si>
  <si>
    <t>按照一套1*1米的地面一体化机柜水泥平台进行计算</t>
  </si>
  <si>
    <t>建议提高价格至：1326</t>
  </si>
  <si>
    <t>租赁机房装修-简单装修</t>
  </si>
  <si>
    <t>租赁机房装修</t>
  </si>
  <si>
    <t>简单装修</t>
  </si>
  <si>
    <t>900101030501</t>
  </si>
  <si>
    <t>包工包料，仅作机房墙面及顶棚粉刷、新增防盗门加防盗锁（含材料）、门禁系统安装（含布线）、机房原喷淋管及走线槽、原门拆除，原窗石膏板封堵、室内走线架（含接地及接地线缆）、室内地排、室外地排、馈线窗、地排接地引入扁钢及地排间连接线缆（总地排到二级地排的线缆）、电池保温箱。室内电气改造的简单装修站点。甲方与乙方约定甲供、乙供材料与品牌，如：租赁机房、内装修、照明、开关、插座、管线等。单价中不含接地费。按机房使用面积计量。</t>
  </si>
  <si>
    <t>该模块单位是平方米，全省共使用了21.3平，相当于只装修了一个4*5.3米的机房，建议删除，按实际的装修的内容做预算进行结算</t>
  </si>
  <si>
    <t>租赁机房装修-标准装修</t>
  </si>
  <si>
    <t>标准装修</t>
  </si>
  <si>
    <t>900101030502</t>
  </si>
  <si>
    <t>除简单装修以外还需其它施工（包含且不限于砌墙、铺设地砖、门窗封堵、墙体、暖气、吊顶等拆除）的称为标准装修。甲方与乙方约定甲供、乙供材料与品牌，如：租赁机房、内装修、空开、照明、开关、插座、应急灯等，含二次搬运。单价中不含接地费。按机房使用面积计量。</t>
  </si>
  <si>
    <t>机房（柜）土建-工程服务新建施工机房（柜）土建土建机房平原二次搬运按工作量计价按站和搬运距离计价</t>
  </si>
  <si>
    <t>土建机房平原二次搬运</t>
  </si>
  <si>
    <t>按站和搬运距离计价</t>
  </si>
  <si>
    <t>元/百米</t>
  </si>
  <si>
    <t>90010103069600000003</t>
  </si>
  <si>
    <t>从运输车辆不能行使的地点算起，需要人力或其它方式进行二次或多次的转运到达施工地点之间的距离，多次搬运不重复计算距离，不足100m不记取二次搬运费用，超过100m（含）按实际距离记取。按站和搬运距离计价；一体化机柜基础、一体化电源柜基础、彩钢板房（含基础）不计取二次搬运费（仅能依靠“人背马驮”方式发生的搬运距离，方可计入二次搬运距离；小型农用车及拖拉机可以到达区域，均不计入二搬距离）</t>
  </si>
  <si>
    <t>机房（柜）土建-工程服务新建施工机房（柜）土建土建机房山区丘陵二次搬运按工作量计价海拔3500米以下，按站和搬运距离计价</t>
  </si>
  <si>
    <t>土建机房山区丘陵二次搬运</t>
  </si>
  <si>
    <t>海拔3500米以下，按站和搬运距离计价</t>
  </si>
  <si>
    <t>90010103079600000008</t>
  </si>
  <si>
    <t>机房（柜）土建-工程服务新建施工机房（柜）土建土建机房山区丘陵二次搬运按工作量计价海拔3500米及以上，按塔基方量和搬运距离计价</t>
  </si>
  <si>
    <t>海拔3500米及以上，按站和搬运距离计价</t>
  </si>
  <si>
    <t>90010103079600000007</t>
  </si>
  <si>
    <t>从运输车辆不能行使的地点算起，需要人力或其它方式进行二次或多次的转运到达施工地点之间的距离，多次搬运不重复计算距离，不足100m按100米计费，超过100m（含）按实际距离记取。按站和搬运距离计价；一体化机柜基础、一体化电源柜基础、彩钢板房（含基础）不计取二次搬运费（仅能依靠“人背马驮”方式发生的搬运距离，方可计入二次搬运距离；小型农用车及拖拉机可以到达区域，均不计入二搬距离）</t>
  </si>
  <si>
    <t>机房（柜）土建施工-油机房（含装修）</t>
  </si>
  <si>
    <t>油机房（含装修）</t>
  </si>
  <si>
    <t>900101030900</t>
  </si>
  <si>
    <t>包工包料，“油机房（含装修）"适用于已有机房需要单独新建油机房的情况，包括平整场地、土方、垫层、混凝土量（含带形基础、柱、圈梁、压顶、有梁板、雨篷、过梁）、钢筋、电力引入管、砖墙、铺设地砖、踢脚、屋面防水保温、天棚、墙面粉刷、台阶、防火防盗门、灯具、开关、插座、管线、防盗笼、门禁系统安装（含布线）、室内走线架（含接地及接地线缆）、室内地排、室外地排、馈线窗、地排接地引入扁钢及地排间连接线缆等，需满足铁塔公司技术规范要求，以及按国家标准的要求，甲方与乙方约定甲供、乙供材料标准和品牌，如：油机房内装修、照明、开关、插座等，含二次搬运，具体以设计为准。</t>
  </si>
  <si>
    <t>未使用过</t>
  </si>
  <si>
    <t>机房（柜）土建施工-地基处理淤泥、软土</t>
  </si>
  <si>
    <t>地基处理（淤泥、软土）</t>
  </si>
  <si>
    <t>淤泥、软土</t>
  </si>
  <si>
    <t>900101050101</t>
  </si>
  <si>
    <t>1、适用于因地质条件原因，地基需采用地基处理（即挖土方，外运废弃土，购买砂石回填）产生的建设以外的附加费用，含定位放线，场地整平、弃土外运（运距不超过20公里）、土方回填、夯实处理；
2、按砂石换填方量计取，单位“立方米”。
3、以地勘报告原有土质不满足承载力为准，不包含施工原因造成承载力不足。</t>
  </si>
  <si>
    <t>比如快装塔的地基处理</t>
  </si>
  <si>
    <t>机房（柜）土建施工-地基处理回填土</t>
  </si>
  <si>
    <t>地基处理（回填土）</t>
  </si>
  <si>
    <t>回填土</t>
  </si>
  <si>
    <t>900101050103</t>
  </si>
  <si>
    <t>适用于需在施工地点以外额外运土回填的（运距不超过20公里）情况，按回填土方量计取，单位“立方米”。</t>
  </si>
  <si>
    <t>建议删除模块内容中的"低洼地形站点"，将适用范围扩大，比如换填非低洼地形的建筑渣土；</t>
  </si>
  <si>
    <t>机房（柜）土建施工-毛石挡墙、护坡</t>
  </si>
  <si>
    <t>900101050300</t>
  </si>
  <si>
    <t>按照一套毛石挡墙的图纸进行测算，反算一方的单价</t>
  </si>
  <si>
    <t>机房（柜）土建施工-排降水</t>
  </si>
  <si>
    <t>900101050400</t>
  </si>
  <si>
    <t xml:space="preserve">按“台班”计价，一个台班按连续抽水8个小时，发电机功率50KW，水泵出口直径200mm;
</t>
  </si>
  <si>
    <t>可按单站施工过程中共用5个抽水台班进行测算，反算一个台班的价格</t>
  </si>
  <si>
    <t>机房（柜）土建施工-土建围墙</t>
  </si>
  <si>
    <t>900101050600</t>
  </si>
  <si>
    <t>土建围墙包括：定位放线、场地整平、基坑挖土、基础混凝土（含垫层）、回填土、残土外运（运距不超过20公里）、砖围墙砌筑、墙面粉刷、1:1水泥砂浆勾缝、防盗大门、场地清理、二次搬运费。要求围墙圈梁以上砌体高度不低于2米。按新建围墙长度“米”计价。</t>
  </si>
  <si>
    <t>按照一套土建围墙的图纸进行测算，反算一米的单价</t>
  </si>
  <si>
    <t>机房（柜）土建施工-地面站地网新建</t>
  </si>
  <si>
    <t>地网新建</t>
  </si>
  <si>
    <t>地面站地网新建</t>
  </si>
  <si>
    <t>900101050801</t>
  </si>
  <si>
    <t>适用于塔高20米及以上的筏板基础、独立基础站点；包工包料，按“站”计价；工作内容包括：定位放线、土方开挖、打接地极（含主材）、接地极连接、防腐、土方回填、场地清理、接地电阻测试调试、运输费、二次搬运费。普通接地水平接地体采用4*40热镀锌扁钢，垂直接地体为50*50*5热镀锌角钢。地网尺寸、接地极数量以设计图纸为准。</t>
  </si>
  <si>
    <t>按照一套24米三管塔的地网图进行整体测算</t>
  </si>
  <si>
    <t>机房（柜）土建施工-地网新建（高地阻环境）</t>
  </si>
  <si>
    <t>地网新建（高地阻环境）</t>
  </si>
  <si>
    <t>900101050803</t>
  </si>
  <si>
    <t>包工包料。1、普通接地网:按“元/站”报价；包括：挖土、打接地极（含主材）、接地极连接、防腐、回填土、场地清理、接地电阻测试调试等全部工作，包括运费及二次搬运费。普通接地水平接地体采用4*40热镀锌扁钢，垂直接地体为50*50*5热镀锌角钢，长度为2500。</t>
  </si>
  <si>
    <t>机房（柜）土建施工-地网新建（小型落地站）</t>
  </si>
  <si>
    <t>地网新建（小型落地站）</t>
  </si>
  <si>
    <t>900101050804</t>
  </si>
  <si>
    <t>适用于孔桩基础单管塔、H杆类、水泥杆、落地增高架、地面支撑杆铁塔高度小于20米的基站；包工包料，按“站”计价；工作内容包括：定位放线、土方开挖、打接地极（含主材）、接地极连接、防腐、土方回填、场地清理、接地电阻测试调试、运输费、二次搬运费。普通接地水平接地体采用4*40热镀锌扁钢，垂直接地体为50*50*5热镀锌角钢。地网尺寸、接地极数量以设计图纸为准。</t>
  </si>
  <si>
    <t>按照一套简易塔的图纸进行整体测算</t>
  </si>
  <si>
    <t>建议修改适用范围为“新建、改造项目中塔高低于20米的塔型或采用孔桩基础施工的单管类塔型；”</t>
  </si>
  <si>
    <t>机房（柜）土建施工-手孔</t>
  </si>
  <si>
    <t>900101051000</t>
  </si>
  <si>
    <t>按照一套手孔图进行测算</t>
  </si>
  <si>
    <t>机房（柜）土建施工-混凝土挡墙、护坡</t>
  </si>
  <si>
    <t>900101051300</t>
  </si>
  <si>
    <t>适用于混凝土挡墙、护坡，按“立方米”报价，包括：定位放线、场地整平、土方开挖、钢筋混凝土浇筑、支模、回填土、反滤包、排（截）水沟、场地清理、泄水孔排水措施、运输费、二次搬运费。</t>
  </si>
  <si>
    <t>按照一套混凝土挡土墙进行测算，反算一方的单价</t>
  </si>
  <si>
    <t>机房（柜）土建施工-地面硬化</t>
  </si>
  <si>
    <t>900101051400</t>
  </si>
  <si>
    <t>适用于混凝土地坪，按“平方米”综合报价，工作内容包括：100mm厚碎石垫层、支模浇筑C25混凝土地坪、路面养护,C25砼面层60mm厚，具体以设计为准。</t>
  </si>
  <si>
    <t>按照相应做地坪进行测算，反算一平米的单价</t>
  </si>
  <si>
    <t>机房（柜）土建施工-室外机柜遮阳棚</t>
  </si>
  <si>
    <t>室外机柜遮阳棚</t>
  </si>
  <si>
    <t>900101051800</t>
  </si>
  <si>
    <t>包工包料，室外机柜遮阳棚以“个”综合报价，包含遮阳棚及配套材料及安装，需满足铁塔公司技术规范要求。</t>
  </si>
  <si>
    <t>机房（柜）土建施工-一体化机柜防盗设施一体化机柜防盗铁笼</t>
  </si>
  <si>
    <t>900101051901</t>
  </si>
  <si>
    <t>适用于一体化机柜防盗铁笼，按“平方米”综合报价，包含防盗笼材料、制作、运输、安装（含化学螺栓锚固）。</t>
  </si>
  <si>
    <t>按照一套一体化机柜防盗笼图纸进行测算，反算一平米的价格</t>
  </si>
  <si>
    <t>机房（柜）土建施工-排水沟</t>
  </si>
  <si>
    <t>900101052200</t>
  </si>
  <si>
    <t>适用于混凝土排水沟，按“米”综合报价，工作内容包括：沟槽开挖、支模浇筑混凝土排水沟底和壁、沟槽回填（应清除杂土，用碎石掺入适量粘土回填且分层夯实，回填土重度不得小于17KN/m3),余土余泥外运（运距不超过20公里）、场地清理。</t>
  </si>
  <si>
    <t>按照一套排水沟图纸进行测算，反算一米的价格</t>
  </si>
  <si>
    <t>机房（柜）土建施工-钢制围栏</t>
  </si>
  <si>
    <t>900101050700</t>
  </si>
  <si>
    <t>适用于钢制围栏，按“米”综合报价，包括：定位放线、场地整平、土方开挖、混凝土、回填土、余土外运（运距不超过20公里）、场地清理、运输费、二次搬运费、2米高铁质栏杆围墙、大门、所有金属构件均刷防锈漆两遍后再刷蓝色调和漆两遍。</t>
  </si>
  <si>
    <t>按照一套钢制围栏的图纸进行测算，反算一米的单价</t>
  </si>
  <si>
    <t>塔基施工-铁塔基础加固</t>
  </si>
  <si>
    <t>铁塔基础加固</t>
  </si>
  <si>
    <t>900201020100</t>
  </si>
  <si>
    <t>包工包料，铁塔混凝土基础加固，含材料费、加固费、机械台班、运输、二次搬运，以混凝土为工程量。</t>
  </si>
  <si>
    <t>机房（柜）土建施工-安装接地铜排</t>
  </si>
  <si>
    <t>安装接地铜排</t>
  </si>
  <si>
    <t>900201030600</t>
  </si>
  <si>
    <t>机房（柜）土建施工-安装室内走线架</t>
  </si>
  <si>
    <t>900201030500</t>
  </si>
  <si>
    <t>包工包料，走线架的材料（铜弯角、汇流条等附属材料）、安装、运输、二次搬运</t>
  </si>
  <si>
    <t>配套模块中有相同模块，价格也一致，直接采用配套的预算，不用再做</t>
  </si>
  <si>
    <t>机房（柜）土建施工-安装室外走线架</t>
  </si>
  <si>
    <t>900201030700</t>
  </si>
  <si>
    <t>机房（柜）土建施工-安装馈线窗</t>
  </si>
  <si>
    <t>安装馈线窗</t>
  </si>
  <si>
    <t>900201030800</t>
  </si>
  <si>
    <t>存量整治-施工塔基二次浇筑及包封</t>
  </si>
  <si>
    <t>二次浇筑及包封</t>
  </si>
  <si>
    <t>900401010100</t>
  </si>
  <si>
    <t>包工包料，原包封混凝土老化（破损）处理清除，原钢构除锈处理，涂刷界面剂或素水泥浆后，支模浇筑高强快硬微膨胀灌浆料</t>
  </si>
  <si>
    <t>存量整治-施工塔基基础加固改造铁塔基础加固</t>
  </si>
  <si>
    <t>基础加固改造</t>
  </si>
  <si>
    <t>900401010202</t>
  </si>
  <si>
    <t>包工包料，回填土石加固铁塔基础，使用一般回填用土，按照回填土方总方量计算。</t>
  </si>
  <si>
    <t>存量整治-机房（柜）土建通风系统整治施工</t>
  </si>
  <si>
    <t>通风系统整治施工</t>
  </si>
  <si>
    <t>900401030300</t>
  </si>
  <si>
    <t>包工包料，旧机房开通风口，拆除旧通风及断开连接动环监控；按图纸位置安装新通风、成功连接动环监控及连接电源并加电；测试新通风运行情况，调测恢复动环监控；测试动环监控告警情况；搬运旧旧通风至仓库等</t>
  </si>
  <si>
    <t>存量整治-施工机房（柜）土建接地网改造整治接地母线</t>
  </si>
  <si>
    <t>接地网改造整治</t>
  </si>
  <si>
    <t>900401030401</t>
  </si>
  <si>
    <t>按照一套简易地网测算，只记水平接地扁钢，反算敷设一米的单价</t>
  </si>
  <si>
    <t>存量整治-施工机房（柜）土建接地网改造整治接地极</t>
  </si>
  <si>
    <t>900401030402</t>
  </si>
  <si>
    <t>1、接地极（50*5热镀锌角钢或热镀锌钢管）:每根2.5米。包含主材及辅料价格，含材料、加工、运输、二次搬运、场地清理、沟槽开挖回填、接地极打入地下、焊接、防腐处理；
2、按个计价；</t>
  </si>
  <si>
    <t>按照一套简易地网测算，只记接地极，反算敷设一根的单价</t>
  </si>
  <si>
    <t>存量整治-机房零星整治</t>
  </si>
  <si>
    <t>机房零星整治</t>
  </si>
  <si>
    <t>900401030500</t>
  </si>
  <si>
    <t>包工包料，原破坏处（含手孔）清理、整治、恢复（含人工、材料、机械使用）。</t>
  </si>
  <si>
    <t>建议删除，用量少，工作内容也不明确，根本没办法事前做预算，建议根据施工内容去做预算进行结算</t>
  </si>
  <si>
    <t>存量整治-机房基础沉降整治双灰桩法</t>
  </si>
  <si>
    <t>机房基础沉降整治</t>
  </si>
  <si>
    <t>双灰桩法</t>
  </si>
  <si>
    <t>900401030604</t>
  </si>
  <si>
    <t>包工包料，土建机房基础沉降的整治、恢复（含人工、材料、机械使用）。</t>
  </si>
  <si>
    <t>存量整治-防盗门安装或更换</t>
  </si>
  <si>
    <t>900401030700</t>
  </si>
  <si>
    <t>包工包料，包含防盗门材料、拆除、安装、替换、二次搬运费</t>
  </si>
  <si>
    <t>塔基施工-新建施工塔基钢管桩施工大直径钢管桩，钢管桩830、950桩径(按吨计价)</t>
  </si>
  <si>
    <t>900101021212</t>
  </si>
  <si>
    <t>包工包料，针对人工挖孔时，大量地下水涌出、孔壁塌陷等需要用钢护筒支护的情况；含材料、加工、制作、运输、吊装、安装等费用；按钢材重量计价；</t>
  </si>
  <si>
    <t>按照一个站使用的钢护筒重量进行测算，反算一吨的价格</t>
  </si>
  <si>
    <t>机房（柜）土建-工程服务改造施工机房（柜）土建手孔灯杆机房手孔扩容塔基机房施工</t>
  </si>
  <si>
    <t>手孔扩容</t>
  </si>
  <si>
    <t>针对手孔管孔不够，增加管孔</t>
  </si>
  <si>
    <t>90020103150000000002</t>
  </si>
  <si>
    <t>包工包料,含路面及塔基恢复、新增机房至手孔、手孔至塔基管孔，采用4*φ110PVC管</t>
  </si>
  <si>
    <t>机房（柜）土建-工程服务新建施工机房（柜）土建彩钢板机房山区丘陵二次搬运海拔3500米以下，按站和搬运距离计费</t>
  </si>
  <si>
    <t>彩钢板房山区丘陵二次搬运</t>
  </si>
  <si>
    <t>海拔3500米以下，按站和搬运距离计费</t>
  </si>
  <si>
    <t>90010103130000000007</t>
  </si>
  <si>
    <t>从运输车辆不能行使的地点算起，需要人力或其它方式进行二次或多次的转运到达施工地点之间的距离，多次搬运不重复计算距离，100m（不含）以内不计费，超过100m记取相应模块；按站和搬运距离计费。（仅能依靠“人背马驮”方式发生的搬运距离，方可计入二次搬运距离；小型农用车及拖拉机可以到达区域，均不计入二搬距离）</t>
  </si>
  <si>
    <t>机房（柜）土建-工程服务新建施工机房（柜）土建彩钢板机房山区丘陵二次搬运海拔3500米及以上，按站和搬运距离计费</t>
  </si>
  <si>
    <t>海拔3500米及以上，按站和搬运距离计费</t>
  </si>
  <si>
    <t>90010103130000000006</t>
  </si>
  <si>
    <t>铁塔-工程服务改造施工铁塔地面塔加固地面塔拉线加固按根计价地面塔拉线更换</t>
  </si>
  <si>
    <t>90020101020602000001</t>
  </si>
  <si>
    <t>拉线更换，拉线采用镀锌钢绞线，钢绞线紧固上端采用NX-2型线夹，下端采用NUTF-2型可调线夹。包含拆除原有拉线后更换新拉线、利旧原有拉锚点，乙方包工包料，包含人工、机械、运输等全部费用。适用于地面塔。</t>
  </si>
  <si>
    <t>地面站，按更换3根拉线测算，反算一根的价格</t>
  </si>
  <si>
    <t>建议适用范围改为“拉线新增/更换”</t>
  </si>
  <si>
    <t>铁塔-工程服务改造施工铁塔地面塔加固地面塔拉线加固按根计价地面塔拉线拉锚新增</t>
  </si>
  <si>
    <t>90020101020602000002</t>
  </si>
  <si>
    <t>地面塔拉线和拉锚新增。新增符合甲方要求的拉线，拉线采用镀锌钢绞线，钢绞线紧固上端采用NX-2型线夹，下端采用NUTF-2型可调线夹。新增拉锚板可采用预制混凝土式，每根拉线对应一个拉锚，单个锚板面积不小于0.65㎡，厚度不小于250，埋深不小于2米；含勘察、材料、运输、搬运、安装、施工、机械台班等所有费用。</t>
  </si>
  <si>
    <t>地面站，按新增3根拉线及相应拉锚、基坑开挖等进行测算，反算一根的价格</t>
  </si>
  <si>
    <t>建议提高价格至：1224</t>
  </si>
  <si>
    <t>铁塔-工程服务改造施工铁塔增加支臂铁塔改造服务安装支臂（2米）</t>
  </si>
  <si>
    <t>元/付</t>
  </si>
  <si>
    <t>90020101120000000016</t>
  </si>
  <si>
    <t>支臂长度2米及以上，包含材料、加工、安装、机械台班、运输、二次搬运等费用。适用于地面塔和楼面塔。</t>
  </si>
  <si>
    <t>按照新增3根抱杆进行测算，反算一根的价格</t>
  </si>
  <si>
    <t>铁塔-工程服务改造施工铁塔增加支臂铁塔改造服务安装支臂（1.5米）</t>
  </si>
  <si>
    <t>增加支臂（支臂长度2米以下，）</t>
  </si>
  <si>
    <t>90020101120000000015</t>
  </si>
  <si>
    <t>支臂长度2米以下，包含材料、加工、安装、机械台班、运输、二次搬运等费用。适用于地面塔和楼面塔。</t>
  </si>
  <si>
    <t>铁塔-工程服务改造施工铁塔塔体改造塔身附属设施拆除</t>
  </si>
  <si>
    <t>90020101140000000012</t>
  </si>
  <si>
    <t>包括美化罩、灯杆灯具、平台护栏、广告牌塔身附属结构的拆除，清理现场并运输到指定位置；按站计取费用；暴力拆除不结算费用。</t>
  </si>
  <si>
    <t>按照拆除一个美化塔的美化罩、灯架进行测算</t>
  </si>
  <si>
    <t>建议把工作内容里的“等”字去掉</t>
  </si>
  <si>
    <t>铁塔-工程服务改造施工铁塔主材替换主材替换</t>
  </si>
  <si>
    <t>90020101180000000002</t>
  </si>
  <si>
    <t>铁塔隐患整治更换构件、构件缺失补充等，含地面塔和楼面塔；
1、构件缺失、变形、损伤的补充与更换；
2、加装或更换与原铁塔等尺寸、强度的构件（补齐构件不允许现场焊接）；
3、紧固螺栓达到预力要求。
4.单价含构件测量、加工、镀锌、运输、安装等所有费用。</t>
  </si>
  <si>
    <t>按照一个塔补充钢构件的重量进行测算，反算一吨的价格</t>
  </si>
  <si>
    <t>铁塔-工程服务改造施工铁塔塔体改造简易塔利旧安装</t>
  </si>
  <si>
    <t>90020101140000000028</t>
  </si>
  <si>
    <t>将已经拆完的或从指定地点领取的地面拉线塔、H杆、地面支撑杆安装完成；含补件（包括拉线、拉锚、地脚螺栓、连接螺栓、及少量缺失的杆件等）、运输、安装、机械、搬运、塔脚包封、垂直度测量等；不含拆除费用和预埋件费用；搬迁之前先确认塔材完整性；按塔高计取费用。</t>
  </si>
  <si>
    <t>按照一套H杆塔进行测算，反算一米的单价</t>
  </si>
  <si>
    <t>铁塔-工程服务改造施工铁塔塔体改造桁架塔利旧安装</t>
  </si>
  <si>
    <t>90020101140000000027</t>
  </si>
  <si>
    <t>将已经拆完的或从指定地点领取的地面增高架、三管塔、四管塔、角钢塔等安装完成；含补件（包括连接螺栓及少量缺失的杆件等）、运输、安装、机械、搬运、塔脚包封、垂直度测量等；不含拆除费用和预埋件费用；搬迁之前先确认塔材完整性；按塔高计取费用。</t>
  </si>
  <si>
    <t>按照一套三管塔塔进行测算，反算一米的单价</t>
  </si>
  <si>
    <t>铁塔-工程服务改造施工铁塔塔体改造管塔类利旧安装</t>
  </si>
  <si>
    <t>90020101140000000035</t>
  </si>
  <si>
    <t>将已经拆完的或从指定地点领取的灯杆塔、单管塔、景观塔、仿生树等安装完成；含补件（包括连接螺栓及少量缺失的杆件等）、运输、安装、机械、搬运、塔脚包封、垂直度测量等；不含拆除费用和预埋件费用；搬迁之前先确认塔材完整性；按塔高计取费用。</t>
  </si>
  <si>
    <t>按照一套灯杆塔进行测算，反算一米的单价</t>
  </si>
  <si>
    <t>铁塔-工程服务改造施工铁塔塔体改造塔房一体化利旧安装</t>
  </si>
  <si>
    <t>90020101140000000026</t>
  </si>
  <si>
    <t>将已经拆完的或从指定地点领取的塔房一体化（含机房、预制基础）安装完成；含补件（包括连接螺栓及少量缺失的杆件等）、运输、安装、机械、搬运、塔脚包封、垂直度测量等；不含拆除费用和预埋件费用；搬迁之前先确认塔材完整性；按塔高计取费用。</t>
  </si>
  <si>
    <t>按照一套一体化塔房（含配种基础）进行测算，反算一米的单价</t>
  </si>
  <si>
    <t>铁塔-工程服务改造施工铁塔塔体改造增加脚踏平台</t>
  </si>
  <si>
    <t>90020101140000000036</t>
  </si>
  <si>
    <t>适用于单管类塔加脚踏平台，含踏脚平台材料、加工、镀锌、运输、搬运、安装等。</t>
  </si>
  <si>
    <t>按照新增一套塔脚平台进行测算</t>
  </si>
  <si>
    <t>塔桅施工-增建铁塔爬梯</t>
  </si>
  <si>
    <t>900201012200</t>
  </si>
  <si>
    <t>针对内爬塔，在塔身外侧新增爬梯的情况；对爬梯进行定制安装（抱箍式）。含材料、加工、镀锌、运输、搬运、安装等费用；计费高度按设计方案计取。</t>
  </si>
  <si>
    <t>按照新增一段塔身外爬梯进行测算</t>
  </si>
  <si>
    <t>铁塔-工程服务改造施工铁塔塔体改造简易塔拆除</t>
  </si>
  <si>
    <t>90020101140000000038</t>
  </si>
  <si>
    <t>包含拉线塔、H杆、地面支撑杆的拆除、运输（运回指定地点）、搬运等。不得暴力拆除，损毁构件需修复完好，确保可以二次搬迁使用。</t>
  </si>
  <si>
    <t>按照拆除一基H杆塔进行测算，反算一米的单价</t>
  </si>
  <si>
    <t>铁塔-工程服务改造施工铁塔塔体改造管塔类地面塔拆除</t>
  </si>
  <si>
    <t>90020101140000000034</t>
  </si>
  <si>
    <t>按照拆除一基灯杆塔进行测算，反算一米的单价</t>
  </si>
  <si>
    <t>铁塔-工程服务改造施工铁塔塔体改造桁架类地面塔拆除</t>
  </si>
  <si>
    <t>90020101140000000032</t>
  </si>
  <si>
    <t>按照拆除一基三管塔进行测算，反算一米的单价</t>
  </si>
  <si>
    <t>铁塔-工程服务改造施工铁塔塔体改造一体化塔房拆除</t>
  </si>
  <si>
    <t>90020101140000000033</t>
  </si>
  <si>
    <t>按照拆除一基一体化塔房进行测算，反算一米的单价</t>
  </si>
  <si>
    <t>塔桅施工-GPS改造</t>
  </si>
  <si>
    <t>900201011600</t>
  </si>
  <si>
    <t>按照塔身新增一根GPS抱杆测算</t>
  </si>
  <si>
    <t>建议把单位改成“元/根”</t>
  </si>
  <si>
    <t>铁塔-工程服务改造施工铁塔塔体改造灯杆美化外罩开孔</t>
  </si>
  <si>
    <t>灯杆美化外罩开孔</t>
  </si>
  <si>
    <t>90020101140000000030</t>
  </si>
  <si>
    <t>针对内爬塔，美化罩下方加支臂时，美化罩开孔。
下人孔：50cmX50cm；穿线孔10cmX10cm。含开孔、施工、机械、运输、清理现场等费用</t>
  </si>
  <si>
    <t>机房（柜）土建-工程服务改造施工机房（柜）土建机房（机柜）搬迁机房搬迁机房拆除搬运</t>
  </si>
  <si>
    <t>90020103030100000004</t>
  </si>
  <si>
    <t>地面或楼面铁甲机房及活动板房，包含但不限于2*3,3*4,3*5规格的机房及辅材，人工费、机械台班、机械使用费、搬运费、转运费、运输费（运输至指定地点）、拆除等。</t>
  </si>
  <si>
    <t>机房（柜）土建-工程服务改造施工机房（柜）土建机房（机柜）搬迁机房搬迁机房搬迁（存量整治）</t>
  </si>
  <si>
    <t>机房搬迁安装</t>
  </si>
  <si>
    <t>90020103030100000002</t>
  </si>
  <si>
    <t>地面或楼面铁甲机房及活动板房，包含但不限于2*3,3*4,3*5规格的机房及辅材，人工费、机械台班、机械使用费、搬运费、转运费、运输费（运输至指定地点）、安装、补件、材料费等。</t>
  </si>
  <si>
    <t>铁塔-工程服务改造施工铁塔增加支臂利旧支臂安装</t>
  </si>
  <si>
    <t>90020101120000000019</t>
  </si>
  <si>
    <t>将已经拆完的或从指定地点领取的支臂安装完成，含补件、运输、安装、机械台班等费用。</t>
  </si>
  <si>
    <t>按照利旧安装3根抱杆（不含材料）进行测算，反算一根的</t>
  </si>
  <si>
    <t>塔基施工-预制基础安装</t>
  </si>
  <si>
    <t>900101021300</t>
  </si>
  <si>
    <t>用于地面和楼面钢筋混凝土预制基础，含制作、加工、运输、搬运、吊装、安装等费用，含预埋件的埋设、基础底面找平等有关工作；混凝土等级C30以上，具体以设计为准，按方量进行结算。</t>
  </si>
  <si>
    <t>按照一个站新增的预制基础进行测算，反算一方的价格</t>
  </si>
  <si>
    <t>塔基-工程服务新建施工塔基土建新建一事一议</t>
  </si>
  <si>
    <t>现有模块未包含的工作内容</t>
  </si>
  <si>
    <t>90010102000000000001</t>
  </si>
  <si>
    <t>-</t>
  </si>
  <si>
    <t>一事一议模块，不用做预算</t>
  </si>
  <si>
    <t>塔基-工程服务改造施工塔基土建改造一事一议</t>
  </si>
  <si>
    <t>90020102000000000001</t>
  </si>
  <si>
    <t>9030010102100000000199</t>
  </si>
  <si>
    <t>调遣费：施工调遣费（300公里以上），300KM＜施工站点位置与铁塔地市办公地点距离((距离取值采用地图导航最近线路距离截图作为依据)，同一项目涉及不同施工单位可分别记取。
不与其它档距的调遣费同时计取，可与二搬模块同时计取。</t>
  </si>
  <si>
    <t>已有预算</t>
  </si>
  <si>
    <t>9030010102100000000200</t>
  </si>
  <si>
    <t>调遣费：施工调遣费（200公里至300公里），20KM＜施工站点位置与铁塔地市办公地点距离((距离取值采用地图导航最近线路距离截图作为依据)≤300KM，同一项目涉及不同施工单位可分别记取。
不与其它档距的调遣费同时计取，可与二搬模块同时计取。</t>
  </si>
  <si>
    <t>9030010102100000000201</t>
  </si>
  <si>
    <t>调遣费：施工调遣费（100公里至200公里），100KM＜施工站点位置与铁塔地市办公地点距离((距离取值采用地图导航最近线路距离截图作为依据)≤200KM，同一项目涉及不同施工单位可分别记取。
不与其它档距的调遣费同时计取，可与二搬模块同时计取。</t>
  </si>
  <si>
    <t>9030010102100000000202</t>
  </si>
  <si>
    <t>调遣费：施工调遣费（35公里至100公里），35KM＜施工站点位置与铁塔地市办公地点距离((距离取值采用地图导航最近线路距离截图作为依据)≤100KM，同一项目涉及不同施工单位可分别记取。
不与其它档距的调遣费同时计取，可与二搬模块同时计取。</t>
  </si>
  <si>
    <t>施工-宏站-新建-塔基-二次浇筑-不分塔型</t>
  </si>
  <si>
    <t>9030010102160000000165</t>
  </si>
  <si>
    <t>1、塔基二次浇筑以每“站”综合报价，包工包料，工作内容包括：材料、运输（含二次搬运）、支模、排水管预埋、对地脚法兰盘与基础顶面之间的空隙用C35微膨胀细石混凝土进行二次浇筑、混凝土养护、二次上站模板拆除、混凝土强度测量等；
2、以上报价二次浇筑混凝土标号以C35为准，具体详塔基设计图纸。</t>
  </si>
  <si>
    <t>按照一个单管塔的二次浇筑工作内容进行测算</t>
  </si>
  <si>
    <t>水泥杆塔-拉线式-12m-0.65kN/m2-抱杆总数3个-一层支架-间距0m-1.2t-1层</t>
  </si>
  <si>
    <t>新增水泥杆及附属设施（12米单杆）</t>
  </si>
  <si>
    <t>水泥杆塔-拉线式-12m-0.65kN/m2-抱杆总数3个-一层支架-间距0m-1.2t</t>
  </si>
  <si>
    <t>0101030202171713060013</t>
  </si>
  <si>
    <t>包工包料，含12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赔补费。</t>
  </si>
  <si>
    <t>按照相应工作内容测算一个水泥杆站的价格</t>
  </si>
  <si>
    <t>水泥杆塔-拉线式-12m-0.65kN/m2-抱杆总数6个-一层支架-间距0m-2.2t-1层</t>
  </si>
  <si>
    <t>新增水泥杆及附属设施（12米双杆）</t>
  </si>
  <si>
    <t>水泥杆塔-拉线式-12m-0.65kN/m2-抱杆总数6个-一层支架-间距0m-2.2t</t>
  </si>
  <si>
    <t>0101030202171716060014</t>
  </si>
  <si>
    <t>包工包料，含2根12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赔补费。</t>
  </si>
  <si>
    <t>水泥杆塔-拉线式-15m-0.65kN/m2-抱杆总数3个-一层支架-间距0m-1.5t-1层</t>
  </si>
  <si>
    <t>新增水泥杆及附属设施（15米单杆）</t>
  </si>
  <si>
    <t>水泥杆塔-拉线式-15m-0.65kN/m2-抱杆总数3个-一层支架-间距0m-1.5t</t>
  </si>
  <si>
    <t>0101030202201713060015</t>
  </si>
  <si>
    <t>包工包料，含15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赔补费。</t>
  </si>
  <si>
    <t>水泥杆塔-拉线式-15m-0.65kN/m2-抱杆总数6个-一层支架-间距0m-2.5t-1层</t>
  </si>
  <si>
    <t>新增水泥杆及附属设施（15米双杆）</t>
  </si>
  <si>
    <t>水泥杆塔-拉线式-15m-0.65kN/m2-抱杆总数6个-一层支架-间距0m-2.5t</t>
  </si>
  <si>
    <t>0101030202201716060016</t>
  </si>
  <si>
    <t>包工包料，含2根15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赔补费。</t>
  </si>
  <si>
    <t>水泥杆塔-拉线式-12m-0.65kN/m2-抱杆总数3个-一层支架-间距0m-外法兰-外爬梯-1.1t-1层</t>
  </si>
  <si>
    <t>12米水泥杆-单杆-不含水泥平台</t>
  </si>
  <si>
    <t>水泥杆塔-拉线式-12m-0.65kN/m2-抱杆总数3个-一层支架-间距0m-外法兰-外爬梯-1.1t</t>
  </si>
  <si>
    <t>0101030202171713060018</t>
  </si>
  <si>
    <t>包工包料，含12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</si>
  <si>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水泥杆塔-拉线式-15m-0.65kN/m2-抱杆总数3个-一层支架-间距0m-外法兰-外爬梯-1.4t-1层</t>
  </si>
  <si>
    <t>15米水泥杆-单杆-不含水泥平台</t>
  </si>
  <si>
    <t>水泥杆塔-拉线式-15m-0.65kN/m2-抱杆总数3个-一层支架-间距0m-外法兰-外爬梯-1.4t</t>
  </si>
  <si>
    <t>0101030202201713060019</t>
  </si>
  <si>
    <t>包工包料，含15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</si>
  <si>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水泥杆塔-拉线式-12m-0.65kN/m2-抱杆总数6个-一层支架-间距0m-外法兰-外爬梯-2.1t-1层</t>
  </si>
  <si>
    <t>12米水泥杆-双杆-不含水泥平台</t>
  </si>
  <si>
    <t>水泥杆塔-拉线式-12m-0.65kN/m2-抱杆总数6个-一层支架-间距0m-外法兰-外爬梯-2.1t</t>
  </si>
  <si>
    <t>0101030202171716060017</t>
  </si>
  <si>
    <t>包工包料，含2根12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</si>
  <si>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水泥杆塔-拉线式-15m-0.65kN/m2-抱杆总数6个-一层支架-间距0m-外法兰-外爬梯-2.4t-1层</t>
  </si>
  <si>
    <t>15米水泥杆-双杆-不含水泥平台</t>
  </si>
  <si>
    <t>水泥杆塔-拉线式-15m-0.65kN/m2-抱杆总数6个-一层支架-间距0m-外法兰-外爬梯-2.4t</t>
  </si>
  <si>
    <t>0101030202201716060020</t>
  </si>
  <si>
    <t>包工包料，含2根15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</si>
  <si>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水泥杆塔-自立式-9m-0.35kN/m2-抱杆总数3个-一层支架-间距0m-外法兰-外爬梯-1t-1层</t>
  </si>
  <si>
    <t>9米水泥杆-单杆-不含水泥平台</t>
  </si>
  <si>
    <t>水泥杆塔-自立式-9m-0.35kN/m2-抱杆总数3个-一层支架-间距0m-外法兰-外爬梯-1t</t>
  </si>
  <si>
    <t>0101030201980113060084</t>
  </si>
  <si>
    <t>包工包料，含9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</si>
  <si>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塔基二次浇筑以每“站”综合报价，包工包料，工作内容包括：材料、运输（含二次搬运）、支模、排水管预埋、对地脚法兰盘与基础顶面之间的空隙用C35微膨胀细石混凝土进行二次浇筑、混凝土养护、二次上站模板拆除、混凝土强度测量等；2、以上报价二次浇筑混凝土标号以C35为准，具体详塔基设计图纸。</t>
  </si>
  <si>
    <t>跟84号重复，不用做</t>
  </si>
  <si>
    <t>拆除抱杆</t>
  </si>
  <si>
    <t>按照单站拆除的总抱杆数进行测算，反算一根的单价</t>
  </si>
  <si>
    <t>不含增值税基准价</t>
  </si>
  <si>
    <t>模使用使用数量</t>
  </si>
  <si>
    <t>与维护模块价格对比分析</t>
  </si>
  <si>
    <t>维护含安全生产费基准价</t>
  </si>
  <si>
    <r>
      <rPr>
        <sz val="10"/>
        <color theme="1"/>
        <rFont val="微软雅黑"/>
        <charset val="134"/>
      </rPr>
      <t>通发与运维单价差异（通发-运维）</t>
    </r>
    <r>
      <rPr>
        <sz val="10"/>
        <color rgb="FFFF0000"/>
        <rFont val="微软雅黑"/>
        <charset val="134"/>
      </rPr>
      <t>（正值表示通发价格高）</t>
    </r>
  </si>
  <si>
    <r>
      <rPr>
        <sz val="10"/>
        <color theme="1"/>
        <rFont val="微软雅黑"/>
        <charset val="134"/>
      </rPr>
      <t>比运维高比例</t>
    </r>
    <r>
      <rPr>
        <sz val="10"/>
        <color rgb="FFFF0000"/>
        <rFont val="微软雅黑"/>
        <charset val="134"/>
      </rPr>
      <t>（正值表示通发价格高）</t>
    </r>
  </si>
  <si>
    <t>外电引入施工-高压高压带电搭火费</t>
  </si>
  <si>
    <t>高压带电搭火费</t>
  </si>
  <si>
    <t>900101060107</t>
  </si>
  <si>
    <t>包干价（含赔补、协调费）。需要进行高压带电搭火的施工方式，以供电部门或者建设方要求为准，具备资质，事先报备，需使用当地供电局带电搭火车，结算时提供带水印的现场照片和相关协议等凭证</t>
  </si>
  <si>
    <t>建议提高单价</t>
  </si>
  <si>
    <t>建议调价至：15000</t>
  </si>
  <si>
    <t>无类似模块</t>
  </si>
  <si>
    <t>外电引入施工-高压环网柜间隔使用费</t>
  </si>
  <si>
    <t>环网柜间隔使用费</t>
  </si>
  <si>
    <t>900101060147</t>
  </si>
  <si>
    <t>包干价（含赔补、协调费等），含环网柜搭火时产生的间隔使用费、施工机具使用费，电缆头附件、肘型头、互感器材料费。由建设单位认定此费用是否计取。</t>
  </si>
  <si>
    <t>外电引入施工-新建高压跌落保险安装(隔离刀闸)</t>
  </si>
  <si>
    <t>跌落式熔断器或隔离开关</t>
  </si>
  <si>
    <t>900101060148</t>
  </si>
  <si>
    <t>包干价（含赔补、协调费）。含跌落式熔断器或隔离开关设备材料及安装调试检测费。含接地系统材料及安装。含所有材料的运输搬运费。由建设单位认定此费用是否计取。</t>
  </si>
  <si>
    <t>价格上涨到2500-3000元不等</t>
  </si>
  <si>
    <t>维护模块隔离开关（基准价1699.32元/组）或跌落式熔断器（基准价1530元/组）不含接地网，其地网1820元/处</t>
  </si>
  <si>
    <t>外市电引入-工程服务新建施工外市电引入高压更换避雷器及地网安装、调试避雷器3只及地网</t>
  </si>
  <si>
    <t>跌落式避雷器</t>
  </si>
  <si>
    <t>90010106018000000003</t>
  </si>
  <si>
    <t>包干价（含赔补、协调费）。含跌落式避雷器设备材料及安装调试检测费。含接地系统材料及安装。含所有材料的运输搬运费。由建设单位认定此费用是否计取。</t>
  </si>
  <si>
    <t>价格上涨到5000以上</t>
  </si>
  <si>
    <t>跌落式避雷器2064元/组，地网1820元/处</t>
  </si>
  <si>
    <t>施工-宏站-新建-外市电引入-设备安装-高压-真空断路器</t>
  </si>
  <si>
    <t>真空断路器</t>
  </si>
  <si>
    <t>90300101055w045o000439</t>
  </si>
  <si>
    <t>包干价（含赔补、协调费）。含真空断路器设备、附属材料及安装实验检验费。含接地系统材料及安装。含所有材料的运输搬运费。由建设单位认定此费用是否计取。</t>
  </si>
  <si>
    <t>维护模块普通型真空断路器模块不含地网基准价10200元/组，其地网基准价1820元/处</t>
  </si>
  <si>
    <t>外市电引入-工程服务新建施工外市电引入高压台式变压器20KVA以下外市电高压新增变压器（20KVA）</t>
  </si>
  <si>
    <t>20KVA台式变压器</t>
  </si>
  <si>
    <t>90010106010802000001</t>
  </si>
  <si>
    <t>包干价（含赔补、协调费、设备运杂费等）。电杆、变压器、综合配电柜（包含框架或塑壳断路器、刀闸、母线，出线空开、低压避雷器等）、低压计量装置、跌落式高压避雷器、跌落式熔断器、地网及附属材料(高压引下线、低压进行、出线等)等施工（变压器侧、搭火点侧，要求变压器侧地网与站房地网有效连接）、避雷器等材料及安装调试检测。含所有材料的运输搬运费及警示标识标牌等。</t>
  </si>
  <si>
    <t>变压器8000，两根电杆7000，一套避雷器3570，跌落式熔断器1428，JP柜4500，试验费3000，设计费（包含竣工资料、验收资料）11000，辅材3000，接地网3000，总计42000元</t>
  </si>
  <si>
    <t>原通发变压器模块含地网，维护模块不含变压器地网，其接地网单价3746.46元/个</t>
  </si>
  <si>
    <t>外市电引入-工程服务新建施工外市电引入高压台式变压器-30KVA</t>
  </si>
  <si>
    <t>30kVA台式变压器</t>
  </si>
  <si>
    <t>90010106010800000003</t>
  </si>
  <si>
    <t>重新测算该模块费用</t>
  </si>
  <si>
    <t>外市电引入-工程服务新建施工外市电引入高压台式变压器30（不含）KVA-50（含）KVA</t>
  </si>
  <si>
    <t>50kVA台式变压器</t>
  </si>
  <si>
    <t>90010106010800000005</t>
  </si>
  <si>
    <t>外市电引入-工程服务新建施工外市电引入高压台式变压器50（不含）KVA-80（含）KVA</t>
  </si>
  <si>
    <t>80kVA台式变压器</t>
  </si>
  <si>
    <t>90010106010800000004</t>
  </si>
  <si>
    <t>外市电引入-工程服务新建施工外市电引入高压台式变压器100kVA</t>
  </si>
  <si>
    <t>100kVA台式变压器</t>
  </si>
  <si>
    <t>90010106010800000002</t>
  </si>
  <si>
    <t>外市电引入-工程服务新建施工外市电引入高压箱式变压器30KVA全箱式全箱式变电站（额定容量30KVA）</t>
  </si>
  <si>
    <t>30kVA箱式变压器</t>
  </si>
  <si>
    <t>90010106010904010001</t>
  </si>
  <si>
    <t>包干价（含赔补、协调费）。箱变基础、工作井和本体、地网、10kV进线柜（含负荷开关或断路器、熔断器、架空引入的避雷器、电缆头制作等）、计量柜（含互感器、负控终端、电表等）、低压出线柜（含框架或塑壳断路器、刀闸、低压避雷器等），含实验检验费。含所有材料的运输搬运费及警示标识标牌等。</t>
  </si>
  <si>
    <t>模块费用，建议美式变压与欧式变压器增加差价</t>
  </si>
  <si>
    <t>维护模块不含箱变基础，需额外增加基础费用，约16000-20000元</t>
  </si>
  <si>
    <t>外市电引入-工程服务新建施工外市电引入高压箱式变压器30（不含）KVA-50（含）KVA</t>
  </si>
  <si>
    <t>50kVA箱式变压器</t>
  </si>
  <si>
    <t>90010106010900000003</t>
  </si>
  <si>
    <t>外市电引入-工程服务新建施工外市电引入高压箱式变压器50（不含）KVA-80（含）KVA</t>
  </si>
  <si>
    <t>80kVA箱式变压器</t>
  </si>
  <si>
    <t>90010106010900000002</t>
  </si>
  <si>
    <t>外电引入施工-高压箱式变压器</t>
  </si>
  <si>
    <t>100kVA箱式变压器</t>
  </si>
  <si>
    <t>900101060109</t>
  </si>
  <si>
    <t>包干价（含赔补、协调费）。箱变基础、工作井和本体、地网、10kV进线柜（含负荷开关或断路器、熔断器、架空引入的避雷器、电缆头制作等）、计量柜（含互感器、负控终端、电表等）、低压出线柜（含框架或塑壳断路器、刀闸、低压避雷器等），无功补偿装置（按需设置），含实验检验费。含所有材料的运输搬运费及警示标识标牌等。</t>
  </si>
  <si>
    <t>外电引入施工-新建外市电引入高压箱式变压器（200KVA）</t>
  </si>
  <si>
    <t>200kVA箱式变压器</t>
  </si>
  <si>
    <t>900101060178</t>
  </si>
  <si>
    <t>外市电引入-工程服务新建施工外市电引入高压架空架空或附挂高压线缆3*35mm² （乙供）</t>
  </si>
  <si>
    <t>架空/附挂35mm²（乙供）</t>
  </si>
  <si>
    <t>元/十米</t>
  </si>
  <si>
    <t>90010106010100000012</t>
  </si>
  <si>
    <t>包干价（含青苗赔补、协调费等）。工程量含：电力电缆（导线）敷设，铁附件、金具、绝缘子等的安装。悬挂安全警示牌、材料搬运、地貌恢复、其它规范要求工作量。按相关规范施工。按照电杆档距（路由长度）据实结算。</t>
  </si>
  <si>
    <t>建议调价至：471.75</t>
  </si>
  <si>
    <t>外市电引入-工程服务新建施工外市电引入高压架空架空或附挂高压线缆3*50mm² （乙供）</t>
  </si>
  <si>
    <t>架空/附挂50mm²（乙供）</t>
  </si>
  <si>
    <t>90010106010100000011</t>
  </si>
  <si>
    <t>建议调价至：599.25</t>
  </si>
  <si>
    <t>外市电引入-工程服务新建施工外市电引入高压架空架空或附挂高压线缆3*70mm² （乙供）</t>
  </si>
  <si>
    <t>架空/附挂70mm²（乙供）</t>
  </si>
  <si>
    <t>90010106010100000015</t>
  </si>
  <si>
    <t>建议调价至：663</t>
  </si>
  <si>
    <t>外市电引入-工程服务新建施工外市电引入高压架空架空或附挂高压线缆3*35mm² （甲供）</t>
  </si>
  <si>
    <t>架空/附挂35mm²（甲供电缆或导线）</t>
  </si>
  <si>
    <t>90010106010100000016</t>
  </si>
  <si>
    <t>包干价（含青苗赔补、协调费等）。工程量含：电力电缆（导线）敷设，铁附件、金具、绝缘子等的安装，不含电缆本体材料费。悬挂安全警示牌、材料搬运、地貌恢复、其它规范要求工作量。按相关规范施工。按照电杆档距（路由长度）据实结算。</t>
  </si>
  <si>
    <t>维护高压架空绝缘导线70mm2及以下模块（甲供）</t>
  </si>
  <si>
    <t>外市电引入-工程服务新建施工外市电引入高压架空架空或附挂高压线缆3*50mm² （甲供）</t>
  </si>
  <si>
    <t>架空/附挂50mm²（甲供电缆或导线）</t>
  </si>
  <si>
    <t>90010106010100000014</t>
  </si>
  <si>
    <t>建议调价至：350.625</t>
  </si>
  <si>
    <t>外市电引入-工程服务新建施工外市电引入高压架空架空或附挂高压线缆3*70mm² （甲供）</t>
  </si>
  <si>
    <t>架空/附挂70mm²（甲供电缆或导线）</t>
  </si>
  <si>
    <t>90010106010100000013</t>
  </si>
  <si>
    <t>外市电引入-工程服务新建施工外市电引入高压地埋直埋敷设高压电缆3*35mm²（乙供）</t>
  </si>
  <si>
    <t>地埋35mm²（乙供）</t>
  </si>
  <si>
    <t>90010106010200000022</t>
  </si>
  <si>
    <t>包干价。工程量含：开挖回填土石方、必要的套钢管敷设电缆、铺盖板、安装地埋标石、材料搬运、地貌恢复、混凝土包封、手孔及电缆的相关实验检验费其它规范要求工作量。按相关规范施工。线路总长度（含高、低压多种敷设方式）总长度不足50米时，计量单位按照上取整计算。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</si>
  <si>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外市电引入-工程服务新建施工外市电引入高压地埋高压地埋50mm²（乙供）</t>
  </si>
  <si>
    <t>地埋50mm²（乙供）</t>
  </si>
  <si>
    <t>90010106010200000024</t>
  </si>
  <si>
    <t>外市电引入-工程服务新建施工外市电引入高压地埋直埋敷设高压电缆3*70mm²（乙供）</t>
  </si>
  <si>
    <t>地埋70mm²（乙供）</t>
  </si>
  <si>
    <t>90010106010200000023</t>
  </si>
  <si>
    <t>外市电引入-工程服务新建施工外市电引入高压地埋直埋敷设高压电缆3*35mm²（甲供）</t>
  </si>
  <si>
    <t>地埋35mm²（甲供电缆或导线）</t>
  </si>
  <si>
    <t>90010106010200000025</t>
  </si>
  <si>
    <t>包干价。工程量含：开挖回填土石方、必要的套钢管敷设电缆、铺盖板、安装地埋标石、材料搬运、地貌恢复、混凝土包封、手孔及电缆的相关实验检验费其它规范要求工作量，不含电缆本体材料费。按相关规范施工。线路总长度（含高、低压多种敷设方式）总长度不足50米时，计量单位按照上取整计算。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</si>
  <si>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外市电引入-工程服务新建施工外市电引入高压地埋直埋敷设高压电缆3*50mm²（甲供）</t>
  </si>
  <si>
    <t>地埋50mm²（甲供电缆或导线）</t>
  </si>
  <si>
    <t>90010106010200000027</t>
  </si>
  <si>
    <t>外市电引入-工程服务新建施工外市电引入高压地埋直埋敷设高压电缆3*70mm²（甲供）</t>
  </si>
  <si>
    <t>地埋70mm²（甲供电缆或导线）</t>
  </si>
  <si>
    <t>90010106010200000026</t>
  </si>
  <si>
    <t>外市电引入-工程服务新建施工外市电引入高压新建管道新建排管敷设高压电缆3*70mm²（乙供）</t>
  </si>
  <si>
    <t>新建排管70mm²（乙供）</t>
  </si>
  <si>
    <t>90010106014400000002</t>
  </si>
  <si>
    <t>包干价。此模块适用于城区路面下埋管。工程量含：破路面、恢复路面，底面垫层浇筑，新建管道开挖回填土石方，管道、人孔及手孔、工作井等新建，至少包含两根排管、一根七孔梅花管，套管敷设电缆、安装地埋标石、材料搬运、地貌恢复、混凝土包封及电缆的相关实验检验费其它规范要求工作量。按相关规范施工。以实际长度记取，总长度不足50米时，计量单位按照上取整计算。</t>
  </si>
  <si>
    <t>维护模块涉及特殊路段的道路开挖及回填，例如水泥路面等</t>
  </si>
  <si>
    <t>外市电引入-工程服务新建施工外市电引入高压新建管道新建排管敷设高、低压电缆（甲供）</t>
  </si>
  <si>
    <t>新建排管（甲供电缆或导线）</t>
  </si>
  <si>
    <t>90010106014400000003</t>
  </si>
  <si>
    <t>包干价（含青苗赔补、协调费等）。此模块适用于城区路面下埋管。工程量含：新建管道开挖回填土石方，管道、人孔及手孔等新建，至少包含两根排管、一根七孔梅花管，套管敷设电缆、安装地埋标石、材料搬运、地貌恢复、混凝土包封及电缆的相关实验检验费其它规范要求工作量。按相关规范施工。以实际长度记取，总长度不足50米时，计量单位按照上取整计算。</t>
  </si>
  <si>
    <t>外市电引入-工程服务新建施工外市电引入高压利旧管道/电力沟利旧管道敷设高压电缆3*35mm²（乙供）</t>
  </si>
  <si>
    <t>利旧管道/电力沟35mm²（乙供）</t>
  </si>
  <si>
    <t>90010106010300000013</t>
  </si>
  <si>
    <t>包干价。工程量含：协调电缆管道/电缆沟/桥架产权单位协调费，管道内电缆敷设、安装等，含电缆的相关实验检验费。总长度不足50米时，计量单位按照上取整计算。</t>
  </si>
  <si>
    <t>外市电引入-工程服务新建施工外市电引入高压利旧管道/电力沟利旧管道敷设高压电缆3*50mm²（乙供）</t>
  </si>
  <si>
    <t>利旧管道/电力沟50mm²（乙供）</t>
  </si>
  <si>
    <t>90010106010300000014</t>
  </si>
  <si>
    <t>外市电引入-工程服务新建施工外市电引入高压利旧管道/电力沟利旧管道敷设高压电缆3*70mm²（乙供）</t>
  </si>
  <si>
    <t>利旧管道/电力沟70mm²（乙供）</t>
  </si>
  <si>
    <t>90010106010300000012</t>
  </si>
  <si>
    <t>外市电引入-工程服务新建施工外市电引入高压利旧管道/电力沟利旧管道敷设高压电缆3*70mm²及以下（甲供）</t>
  </si>
  <si>
    <t>利旧管道/电力沟35mm²~70mm²（甲供电缆或导线）</t>
  </si>
  <si>
    <t>90010106010300000011</t>
  </si>
  <si>
    <t>包干价。工程量含：协调电缆管道/电缆沟/桥架产权单位协调费，不含电缆本体材料费，管道内电缆敷设、安装等，含电缆的相关实验检验费。</t>
  </si>
  <si>
    <t>外市电引入-工程服务新建施工外市电引入φ150mm×9m电杆（适用于低压线路）</t>
  </si>
  <si>
    <t>φ150mm×9m电杆
（适用于低压线路）</t>
  </si>
  <si>
    <t>根</t>
  </si>
  <si>
    <t>90010106000000000083</t>
  </si>
  <si>
    <t>包干价（含青苗赔补、协调费等），含电杆分坑测量，土方开挖，土方回填，电杆组立，不含杆上金具铁附件及绝缘子安装，适用于电杆档距小于70米。</t>
  </si>
  <si>
    <t>外市电引入-工程服务新建施工外市电引入低压(三相380V)电力电杆施工预应力锥形水泥杆φ190mm×9m电杆，适用于低压线路</t>
  </si>
  <si>
    <t>φ190mm×9m电杆
（适用于低压线路）</t>
  </si>
  <si>
    <t>90010106053800000003</t>
  </si>
  <si>
    <t>包干价（含青苗赔补、协调费等），含电杆分坑测量，土方开挖，土方回填，电杆组立，不含杆上金具铁附件及绝缘子安装。</t>
  </si>
  <si>
    <t>外市电引入-工程服务新建施工外市电引入低压(三相380V)电力电杆施工φ190mm×10m电杆（适用于低压线路）</t>
  </si>
  <si>
    <t>φ190mm×10m电杆
（适用于低压线路）</t>
  </si>
  <si>
    <t>90010106053800000004</t>
  </si>
  <si>
    <t>外市电引入-工程服务新建施工外市电引入高压10米以上水泥杆单杆预应力锥形水泥杆φ190mm×12m电杆（适用于高、低压线路）</t>
  </si>
  <si>
    <t>90010106017801000004</t>
  </si>
  <si>
    <t>外市电引入-工程服务新建施工外市电引入高压10米以上水泥杆单杆预应力锥形水泥杆φ190mm×15m电杆（适用于高、低压线路）</t>
  </si>
  <si>
    <t>90010106017801000005</t>
  </si>
  <si>
    <t>包干价，含电杆分坑测量，土方开挖，土方回填，电杆组立，不含杆上金具铁附件及绝缘子安装。</t>
  </si>
  <si>
    <t>外市电引入-工程服务新建施工外市电引入高压10米以上水泥杆单杆预应力锥形水泥杆φ190mm×18m电杆（适用于高、低压线路）</t>
  </si>
  <si>
    <t>φ190mm×18m电杆（适用于高、低压线路）</t>
  </si>
  <si>
    <t>90010106017801000006</t>
  </si>
  <si>
    <t>外市电引入-工程服务新建施工外市电引入高压10米水泥杆单杆电力电杆扶正（拉线更换）</t>
  </si>
  <si>
    <t>90010106017202000003</t>
  </si>
  <si>
    <t>包干价（含青苗赔补、协调费等）。工程量含：拉线土方开挖，拉盘安装，拉线抱箍安装，拉线制作安装及调整，拉线棒防腐等，弓形拉线按拉线组1.2倍计取，高扳拉线按拉线组2倍计取。</t>
  </si>
  <si>
    <t>模块内容说明弓形拉线价格按1.2倍模块价记取，但系统模块数量只能取整数无法取小数</t>
  </si>
  <si>
    <t>外市电引入-工程服务新建施工外市电引入低压(单相220V)架空架空或附挂低压线缆2*10m²（乙供）</t>
  </si>
  <si>
    <t>低压(单相220V)</t>
  </si>
  <si>
    <t>架空/附挂10mm²（乙供）</t>
  </si>
  <si>
    <t>90010106040100000016</t>
  </si>
  <si>
    <t>包干价（含青苗赔补、协调费、跨越河流、道路费用等）。工程量含：绝缘子、横担金具等安装、布放吊线、电力电缆（导线）敷设、悬挂安全警示牌、拉线警示管、材料搬运、地貌恢复、手孔及其它规范要求工作量，不包含沿墙套管的费用。按相关规范施工。线路（纯低压+高压）总长度不足70米时，按照70米计取。</t>
  </si>
  <si>
    <t>建议上调电缆材料价格10%-20%</t>
  </si>
  <si>
    <t>外市电引入-工程服务新建施工外市电引入低压(单相220V)架空架空或附挂低压线缆2*16m²（乙供）</t>
  </si>
  <si>
    <t>架空/附挂16mm²（乙供）</t>
  </si>
  <si>
    <t>90010106040100000014</t>
  </si>
  <si>
    <t>以维护模块架空绝缘导线基准价示例</t>
  </si>
  <si>
    <t>外市电引入-工程服务新建施工外市电引入低压(单相220V)架空架空或附挂低压线缆2*25m²（乙供）</t>
  </si>
  <si>
    <t>架空/附挂25mm²（乙供）</t>
  </si>
  <si>
    <t>90010106040100000017</t>
  </si>
  <si>
    <t>外市电引入-工程服务新建施工外市电引入低压(单相220V)架空架空或附挂低压线缆2*35m²（乙供）</t>
  </si>
  <si>
    <t>90010106040100000018</t>
  </si>
  <si>
    <t>外市电引入-工程服务新建施工外市电引入低压(单相220V)架空架空或附挂低压线缆2*50m²（乙供）</t>
  </si>
  <si>
    <t>90010106040100000013</t>
  </si>
  <si>
    <t>包干价（含青苗赔补、协调费、跨越河流、道路费用等）。工程量含：绝缘子、横担金具等安装、布放吊线、电力电缆（导线）敷设、悬挂安全警示牌、拉线警示管、材料搬运、地貌恢复、手孔及其它规范要求工作量，不包含沿墙套管的费用。按相关规范施工。线路（线路（纯低压+高压）总长度不足70米时，按照70米计取。</t>
  </si>
  <si>
    <t>外市电引入-工程服务新建施工外市电引入低压(单相220V)架空架空或附挂低压线缆2*25m²及以下（甲供）</t>
  </si>
  <si>
    <t>架空/附挂10mm²~25mm²（甲供电缆或导线）</t>
  </si>
  <si>
    <t>90010106040100000015</t>
  </si>
  <si>
    <t>包干价（含青苗赔补、协调费等）。工程量含：绝缘子、横担金具等安装、布放吊线、电力电缆（导线）敷设、悬挂安全警示牌、拉线警示管、材料搬运、地貌恢复、手孔及其它规范要求工作量，不包含沿墙套管本身及套管的施工费用，不含电缆本体材料费。按相关规范施工。线路（纯低压+高压）总长度不足70米时，按照70米计取。</t>
  </si>
  <si>
    <t>外市电引入-工程服务新建施工外市电引入低压(单相220V)架空架空或附挂低压线缆2*35mm²~2*50mm²（甲供）</t>
  </si>
  <si>
    <t>架空/附挂35mm²~50mm²（甲供电缆或导线）</t>
  </si>
  <si>
    <t>90010106040100000012</t>
  </si>
  <si>
    <t>外市电引入-工程服务新建施工外市电引入低压(单相220V)地埋直埋敷设低压电缆2*25mm²（乙供）</t>
  </si>
  <si>
    <t>地埋25mm²（乙供）</t>
  </si>
  <si>
    <t>90010106040200000010</t>
  </si>
  <si>
    <t>包干价（含青苗赔补、协调费等）。工程量含：开挖回填土石方、必要的套钢管敷设电缆、铺盖板、安装地埋标石、材料搬运、地貌恢复、混凝土包封、手孔及其它规范要求工作量。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</si>
  <si>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外市电引入-工程服务新建施工外市电引入低压(单相220V)地埋直埋敷设低压电缆2*35mm²（乙供）</t>
  </si>
  <si>
    <t>90010106040200000011</t>
  </si>
  <si>
    <t>包干价（含青苗赔补、协调费等）。工程量含：开挖回填土石方、必要的套钢管敷设电缆、铺盖板、安装地埋标石、材料搬运、地貌恢复、混凝土包封、手孔及电缆的相关实验检验费其它规范要求工作量。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</si>
  <si>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外市电引入-工程服务新建施工外市电引入低压(单相220V)地埋直埋敷设低压电缆2*50mm²（乙供）</t>
  </si>
  <si>
    <t>90010106040200000009</t>
  </si>
  <si>
    <t>外市电引入-工程服务新建施工外市电引入低压(单相220V)地埋直埋敷设低压电缆2*25mm²及以下（甲供）</t>
  </si>
  <si>
    <t>地埋25mm²（甲供电缆或导线）</t>
  </si>
  <si>
    <t>90010106040200000013</t>
  </si>
  <si>
    <t>包干价（含青苗赔补、协调费等）。工程量含：开挖回填土石方、必要的套钢管敷设电缆、铺盖板、安装地埋标石、材料搬运、地貌恢复、混凝土包封、手孔及其它规范要求工作量，不含电缆本体材料费。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</si>
  <si>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外市电引入-工程服务新建施工外市电引入低压(单相220V)地埋直埋敷设低压电缆2*35mm²（甲供）</t>
  </si>
  <si>
    <t>90010106040200000014</t>
  </si>
  <si>
    <t>包干价（含青苗赔补、协调费等）。工程量含：开挖回填土石方、必要的套钢管敷设电缆、铺盖板、安装地埋标石、材料搬运、地貌恢复、混凝土包封、手孔及电缆的相关实验检验费其它规范要求工作量，不含电缆本体材料费。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</si>
  <si>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外市电引入-工程服务新建施工外市电引入低压(单相220V)地埋直埋敷设低压电缆2*50mm²（甲供）</t>
  </si>
  <si>
    <t>90010106040200000012</t>
  </si>
  <si>
    <t>外市电引入-工程服务新建施工外市电引入低压(单相220V)新建管道新建排管敷设低压电缆2*50mm²（乙供）</t>
  </si>
  <si>
    <t>新建管道50mm²（乙供）</t>
  </si>
  <si>
    <t>90010106045600000002</t>
  </si>
  <si>
    <t>包干价。工程量含：新建管道开挖回填土石方，管道、人孔及手孔等新建，至少包含两根排管、一根七孔梅花管，套管敷设电缆、安装地埋标石、材料搬运、地貌恢复、混凝土包封及电缆的相关实验检验费其它规范要求工作量。按相关规范施工。以实际长度记取，不足10米按10米计算。</t>
  </si>
  <si>
    <t>外市电引入-工程服务新建施工外市电引入低压(单相220V)利旧管道/电力沟利旧管道敷设低压电缆2*25mm²（乙供）</t>
  </si>
  <si>
    <t>利旧管道/电力沟25mm²（乙供）</t>
  </si>
  <si>
    <t>90010106040300000014</t>
  </si>
  <si>
    <t>包干价。工程量含：协调电缆管道/电缆沟/桥架产权单位协调费，管道内电缆敷设、安装等，含电缆的相关实验检验费。线路（纯低压+高压）总长度不足70米时，按照70米计取。</t>
  </si>
  <si>
    <t>外市电引入-工程服务新建施工外市电引入低压(单相220V)利旧管道/电力沟利旧管道敷设低压电缆2*35mm²（乙供）</t>
  </si>
  <si>
    <t>90010106040300000012</t>
  </si>
  <si>
    <t>外市电引入-工程服务新建施工外市电引入低压(单相220V)利旧管道/电力沟利旧管道敷设低压电缆2*50mm²（乙供）</t>
  </si>
  <si>
    <t>90010106040300000013</t>
  </si>
  <si>
    <t>外市电引入-工程服务新建施工外市电引入低压(单相220V)利旧管道/电力沟低压(单相220V)利旧管道/电力沟25mm²~50mm²（甲供）</t>
  </si>
  <si>
    <t>利旧管道/电力沟25mm²~50mm²（甲供电缆或导线）</t>
  </si>
  <si>
    <t>90010106040300000015</t>
  </si>
  <si>
    <t>包干价。工程量含：协调电缆管道/电缆沟/桥架产权单位协调费，管道内电缆敷设、安装等，不含电缆本体材料费，含电缆的相关实验检验费。线路（纯低压+高压）总长度不足70米时，按照70米计取。</t>
  </si>
  <si>
    <t>施工-宏站-新建-外市电引入-低压(三相380V)-架空-16mm2-含电力电缆或导线</t>
  </si>
  <si>
    <t>低压(三相380V)</t>
  </si>
  <si>
    <t>9030010105250003000168</t>
  </si>
  <si>
    <t>外市电引入-工程服务新建施工外市电引入低压(三相380V)架空架空或附挂低压线缆4*25m²（乙供）</t>
  </si>
  <si>
    <t>90010106050100000029</t>
  </si>
  <si>
    <t>包干价（含青苗赔补、协调费，跨越河流、道路费用等）。工程量含：绝缘子、横担金具等安装、布放吊线、电力电缆（导线）敷设、悬挂安全警示牌、拉线警示管、材料搬运、地貌恢复、手孔及其它规范要求工作量，不包含沿墙套管的费用。按相关规范施工。线路（纯低压+高压）总长度不足70米时，按照70米计取。</t>
  </si>
  <si>
    <t>维护高压电缆架空线路单价93.5元/米。</t>
  </si>
  <si>
    <t>外市电引入-工程服务新建施工外市电引入低压(三相380V)架空架空或附挂低压线缆4*35m²（乙供）</t>
  </si>
  <si>
    <t>90010106050100000030</t>
  </si>
  <si>
    <t>以维护模块架空绝缘导线基准价示例；不涉及交跨</t>
  </si>
  <si>
    <t>外市电引入-工程服务新建施工外市电引入低压(三相380V)架空架空或附挂低压线缆4*50m²（乙供）</t>
  </si>
  <si>
    <t>90010106050100000036</t>
  </si>
  <si>
    <t>维护高压电缆架空线路单价100.8元/米；维护高压三相架空绝缘导线线路75.84元/米</t>
  </si>
  <si>
    <t>外市电引入-工程服务新建施工外市电引入低压(三相380V)架空架空或附挂低压线缆4*70m²（乙供）</t>
  </si>
  <si>
    <t>90010106050100000034</t>
  </si>
  <si>
    <t>以维护模块架空电力电缆线基准价示例；不涉及交跨</t>
  </si>
  <si>
    <t>外市电引入-工程服务新建施工外市电引入低压(三相380V)架空架空或附挂低压线缆4*25m²及以下（甲供）</t>
  </si>
  <si>
    <t>架空/附挂16~25mm²（甲供电缆或导线）</t>
  </si>
  <si>
    <t>90010106050100000035</t>
  </si>
  <si>
    <t>外市电引入-工程服务新建施工外市电引入低压(三相380V)架空架空或附挂低压线缆4*35m²（甲供）</t>
  </si>
  <si>
    <t>90010106050100000032</t>
  </si>
  <si>
    <t>外市电引入-工程服务新建施工外市电引入低压(三相380V)架空架空或附挂低压线缆4*50m²（甲供）</t>
  </si>
  <si>
    <t>90010106050100000033</t>
  </si>
  <si>
    <t>包干价（含青苗赔补、协调费等）。工程量含：绝缘子、横担金具等安装、布放吊线、电力电缆（导线）敷设、悬挂安全警示牌、拉线警示管、材料搬运、地貌恢复、手孔及其它规范要求工作量，不包含沿墙套管本身及套管的施工费用，不含电缆本体材料费。按相关规范施工。线线路（纯低压+高压）总长度不足70米时，按照70米计取。</t>
  </si>
  <si>
    <t>外市电引入-工程服务新建施工外市电引入低压(三相380V)架空架空或附挂低压线缆4*70m²（甲供）</t>
  </si>
  <si>
    <t>90010106050100000031</t>
  </si>
  <si>
    <t>外市电引入-工程服务新建施工外市电引入低压(三相380V)地埋直埋敷设低压线缆4*25m²（乙供）</t>
  </si>
  <si>
    <t>90010106050200000035</t>
  </si>
  <si>
    <t>外市电引入-工程服务新建施工外市电引入低压(三相380V)地埋直埋敷设低压线缆4*35m²（乙供）</t>
  </si>
  <si>
    <t>90010106050200000033</t>
  </si>
  <si>
    <t>外市电引入-工程服务新建施工外市电引入低压(三相380V)地埋直埋敷设低压线缆4*50m²（乙供）</t>
  </si>
  <si>
    <t>90010106050200000034</t>
  </si>
  <si>
    <t>外市电引入-工程服务新建施工外市电引入低压(三相380V)地埋直埋敷设低压线缆4*70m²（乙供）</t>
  </si>
  <si>
    <t>地埋70mm(乙供)²</t>
  </si>
  <si>
    <t>90010106050200000038</t>
  </si>
  <si>
    <t>外市电引入-工程服务新建施工外市电引入低压(三相380V)地埋直埋敷设低压线缆4*25m²及以下（甲供）</t>
  </si>
  <si>
    <t>90010106050200000040</t>
  </si>
  <si>
    <t xml:space="preserve">包干价（含青苗赔补、协调费等）。工程量含：开挖回填土石方、必要的套钢管敷设电缆（不含电缆本体价格）、铺盖板、安装地埋标石、材料搬运、地貌恢复、混凝土包封、手孔及电缆的相关实验检验费其它规范要求工作量，不含电缆本体材料费。按相关规范施工。线路总长度（含高、低压多种敷设方式）线路（纯低压+高压）总长度不足70米时，按照70米计取。同一站线路敷设方式多种类型按最低高压价格类型记取；线路总长度（含高、低压多种敷设方式）。
</t>
  </si>
  <si>
    <t>外市电引入-工程服务新建施工外市电引入低压(三相380V)地埋直埋敷设低压线缆4*35m²（甲供）</t>
  </si>
  <si>
    <t>90010106050200000037</t>
  </si>
  <si>
    <t>外市电引入-工程服务新建施工外市电引入低压(三相380V)地埋直埋敷设低压线缆4*50m²（甲供）</t>
  </si>
  <si>
    <t>90010106050200000039</t>
  </si>
  <si>
    <t>包干价（含青苗赔补、协调费等）。工程量含：开挖回填土石方、必要的套钢管敷设电缆、铺盖板、安装地埋标石、材料搬运、地貌恢复、混凝土包封、手孔及电缆的相关实验检验费其它规范要求工作量，不含电缆本体材料费。按相关规范施工。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</si>
  <si>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外市电引入-工程服务新建施工外市电引入低压(三相380V)地埋直埋敷设低压线缆4*70m²（甲供）</t>
  </si>
  <si>
    <t>90010106050200000036</t>
  </si>
  <si>
    <t>包干价。工程量含：开挖回填土石方、必要的套钢管敷设电缆、铺盖板、安装地埋标石、材料搬运、地貌恢复、混凝土包封、手孔及电缆的相关实验检验费其它规范要求工作量，不含电缆本体材料费。按相关规范施工。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</si>
  <si>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外市电引入-工程服务新建施工外市电引入低压(三相380V)新建管道新建管道敷设低压电缆4*35mm²（乙供）</t>
  </si>
  <si>
    <t>新建管道35mm²（乙供）</t>
  </si>
  <si>
    <t>90010106055500000004</t>
  </si>
  <si>
    <t>包干价。工程量含：新建管道开挖回填土石方，管道、人孔及手孔等新建，至少包含两根排管，套管敷设电缆、安装地埋标石、材料搬运、地貌恢复、混凝土包封及电缆的相关实验检验费其它规范要求工作量。按相关规范施工。线路（纯低压+高压）总长度不足70米时，按照70米计取。</t>
  </si>
  <si>
    <t>外市电引入-工程服务新建施工外市电引入低压(三相380V)新建管道新建管道敷设低压电缆4*50mm²（乙供）</t>
  </si>
  <si>
    <t>90010106055500000002</t>
  </si>
  <si>
    <t>包干价。工程量含：新建管道开挖回填土石方，管道、人孔及手孔等新建，至少包含两根排管、套管敷设电缆、安装地埋标石、材料搬运、地貌恢复、混凝土包封及电缆的相关实验检验费其它规范要求工作量。按相关规范施工。线路（纯低压+高压）总长度不足70米时，按照70米计取。</t>
  </si>
  <si>
    <t>外市电引入-工程服务新建施工外市电引入低压(三相380V)新建管道新建管道敷设低压电缆4*70mm²（乙供）</t>
  </si>
  <si>
    <t>新建管道70mm²（乙供）</t>
  </si>
  <si>
    <t>90010106055500000003</t>
  </si>
  <si>
    <t>外市电引入-工程服务新建施工外市电引入低压(三相380V)利旧管道/电力沟利旧管道敷设低压电缆4*35mm²（乙供）</t>
  </si>
  <si>
    <t>90010106050300000016</t>
  </si>
  <si>
    <t>外市电引入-工程服务新建施工外市电引入低压(三相380V)利旧管道/电力沟利旧管道敷设低压电缆4*50mm²（乙供）</t>
  </si>
  <si>
    <t>90010106050300000017</t>
  </si>
  <si>
    <t>外市电引入-工程服务新建施工外市电引入低压(三相380V)利旧管道/电力沟利旧管道敷设低压电缆4*70mm²（乙供）</t>
  </si>
  <si>
    <t>90010106050300000019</t>
  </si>
  <si>
    <t>外市电引入-工程服务新建施工外市电引入低压(三相380V)利旧管道/电力沟利旧管道敷设低压电缆4*70mm²及以下（甲供）</t>
  </si>
  <si>
    <t>90010106050300000018</t>
  </si>
  <si>
    <t>外电引入施工-新建低压(三相380V)安装开关箱</t>
  </si>
  <si>
    <t>室外交流配电箱</t>
  </si>
  <si>
    <t>900101060556</t>
  </si>
  <si>
    <t>包干价（含设备、材料、上站费、割接替换）。新建转供电的站点含到甲方领取智能电表上站安装。改造站含割接交流配电箱及原有交流配电箱下挂的负载。箱体内自带导轨可安装智能电表，箱体及相关的SPD需要接地。箱体需要达到IP55的要求。结算时提供带水印的现场照片和相关协议等凭证</t>
  </si>
  <si>
    <t>建议调价至：1407.6</t>
  </si>
  <si>
    <t>外市电引入-工程服务新建施工外市电引入低压(三相380V)安装开关箱配电箱安装支架及基础</t>
  </si>
  <si>
    <t>配电箱安装支架</t>
  </si>
  <si>
    <t>站</t>
  </si>
  <si>
    <t>90010106055600000002</t>
  </si>
  <si>
    <t>包工包料，按照“站”综合计价。含角钢、混凝土、钢筋、预埋管材、人工费、机械台班、运输、二次搬运等，以及工程不可预见的发电，三通一平等内容。具体以设计为准。用于地面配电箱安装的支架及基础。</t>
  </si>
  <si>
    <t>外市电引入-工程服务新建施工外市电引入低压线缆沿墙敷设及固定（含辅材及施工）</t>
  </si>
  <si>
    <t>电缆沿墙敷设</t>
  </si>
  <si>
    <t>90010106000000000069</t>
  </si>
  <si>
    <t>本模块仅适用于电缆沿墙敷设时需额外套管和增加墙上固定横担、绝缘子的场景。包干价（含青苗赔补、协调费等）。工程量含：绝缘子、墙上固定横担绝缘子等安装、电缆套管敷设、材料搬运、墙面恢复、其它规范要求工作量，不含电缆敷设。按相关规范施工。按实际长度记取，不足70米按照70米计算。</t>
  </si>
  <si>
    <t>建议上调价格20%</t>
  </si>
  <si>
    <t>外电引入施工-低压(单相220V)报装费</t>
  </si>
  <si>
    <t>报装费(220V)</t>
  </si>
  <si>
    <t>900101060406</t>
  </si>
  <si>
    <t>包干价（含赔补、协调费等），工程量含：电表箱提供及内装设备的安装，断电传感器远端模块的安装，低压搭火，含电表箱的安装，各项调测及其它规范要求工作量，由建设单位认定此费用是否计取。</t>
  </si>
  <si>
    <t>建议调价至：2000</t>
  </si>
  <si>
    <t>外电引入施工-低压(三相380V)报装费</t>
  </si>
  <si>
    <t>报装费(380V)</t>
  </si>
  <si>
    <t>900101060506</t>
  </si>
  <si>
    <t>建议调价至：25000</t>
  </si>
  <si>
    <t>外电引入施工-高压报装费</t>
  </si>
  <si>
    <t>高压报装费（含高供高计或高功低计）</t>
  </si>
  <si>
    <t>900101060106</t>
  </si>
  <si>
    <t>包干价（含赔补、协调费等），工程量含：互感器的提供及安装，智能电表箱提供及内装设备的安装，断电传感器远端模块的安装，各项调测、协调及其它规范要求工作量，由建设单位认定此费用是否计取。</t>
  </si>
  <si>
    <t>建议调价至：4000</t>
  </si>
  <si>
    <t>外市电引入-工程服务改造施工外市电引入更换变压器变压器更换为30kVA（含拆、安、调试及辅材）</t>
  </si>
  <si>
    <t>变压器扩容</t>
  </si>
  <si>
    <t>90020105110000000005</t>
  </si>
  <si>
    <t>包干价（含赔补、协调费）。旧变压器拆除及运输至铁塔公司仓库，新变压器安装，计量装置调测，变压器进线出线电缆拆除安装及试验等。含所有材料的运输搬运费及警示标识标牌等。</t>
  </si>
  <si>
    <t>外市电引入-工程服务改造施工外市电引入更换变压器变压器更换为50kVA（含拆、安、调试及辅材）</t>
  </si>
  <si>
    <t>90020105110000000006</t>
  </si>
  <si>
    <t>建议调整模块内容，主要针对变压器的施工内容（包含变压器本体、拆装及引线、设备线夹等）及价格做出对应调整</t>
  </si>
  <si>
    <t>外市电引入-工程服务改造施工外市电引入更换变压器变压器更换为80kVA（含拆、安、调试及辅材）</t>
  </si>
  <si>
    <t>90020105110000000004</t>
  </si>
  <si>
    <t>外市电引入-工程服务改造施工外市电引入更换变压器变压器更换为100kVA（含拆、安、调试及辅材）</t>
  </si>
  <si>
    <t>90020105110000000007</t>
  </si>
  <si>
    <t>外市电引入-工程服务新建施工外市电引入高压变压器地面硬化按平方米计算</t>
  </si>
  <si>
    <t>90010106015100000002</t>
  </si>
  <si>
    <t>建议上调价格，通过广联达测算后得出价格</t>
  </si>
  <si>
    <t>外市电引入-工程服务新建施工外市电引入人力搬运模块（海拔3500m以下）</t>
  </si>
  <si>
    <t>二次搬运</t>
  </si>
  <si>
    <t>人力搬运模块（海拔3500m以下）</t>
  </si>
  <si>
    <t>元/（吨*百米）</t>
  </si>
  <si>
    <t>90010106000000000087</t>
  </si>
  <si>
    <t>包干价，包含《20kV及以下配网工程建设预算编制与计算规定》中认定的未计价材料（电杆、拉线、拉线盘、底盘卡盘、避雷器、电缆、导线，铁附件、金具）的装卸、搬运。人力搬运直线距离超过100m后，按超过的部分记取，按照线路的几何中心至搬运计算，以100m的整数计算。</t>
  </si>
  <si>
    <t>外市电引入-工程服务新建施工外市电引入人力搬运模块（海拔3500m及以上）</t>
  </si>
  <si>
    <t>人力搬运模块（海拔3500m以上）</t>
  </si>
  <si>
    <t>90010106000000000086</t>
  </si>
  <si>
    <t>包干价，包含《20kV及以下配网工程建设预算编制与计算规定》中认定的未计价材料（电杆、拉线、拉线盘、底盘卡盘、避雷器、电缆、导线，铁附件、金具）的装卸、搬运。人力搬运直线距离超过100m后，按超过的部分记取，按照平均搬运距离计算，以100m的整数计算。</t>
  </si>
  <si>
    <t>外市电引入-工程服务新建施工外市电引入干扰补偿费模块</t>
  </si>
  <si>
    <t>干扰补偿费模块</t>
  </si>
  <si>
    <t>90010106000000000084</t>
  </si>
  <si>
    <t>干扰补偿费</t>
  </si>
  <si>
    <t>外市电引入-工程服务新建施工外市电引入外市电新建一事一议</t>
  </si>
  <si>
    <t>现有模块未包含的内容</t>
  </si>
  <si>
    <t>90010106000000000001</t>
  </si>
  <si>
    <t>外市电引入-工程服务新建施工外市电引入直流远供局端+远端（含机柜、电池、FSU）(电缆乙供）</t>
  </si>
  <si>
    <t>直流远供局端+远端（含机柜、电池、FSU）(电缆乙供）</t>
  </si>
  <si>
    <t>90010106000000000066</t>
  </si>
  <si>
    <t>局端：安装落地式室外综合机柜、安装锂电池组、安装直流远供电局端模块、直流远供电系统调试、室外布放电力电缆；含电池连接线，设备连接线、接电端子等材料。
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</si>
  <si>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外市电引入-工程服务新建施工外市电引入直流远供局端+远端（含机柜、FSU）(电缆乙供）</t>
  </si>
  <si>
    <t>直流远供局端+远端（含机柜、FSU）(电缆乙供）</t>
  </si>
  <si>
    <t>90010106000000000073</t>
  </si>
  <si>
    <t>局端：安装落地式室外综合机柜、安装直流远供电局端模块、直流远供电系统调试、室外布放电力电缆；设备连接线、接电端子等材料。
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</si>
  <si>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外市电引入-工程服务新建施工外市电引入直流远供局端+远端（远端含机柜、FSU）(电缆乙供）</t>
  </si>
  <si>
    <t>直流远供局端+远端（远端含机柜、FSU）(电缆乙供）</t>
  </si>
  <si>
    <t>90010106000000000081</t>
  </si>
  <si>
    <t>局端：安装直流远供电局端模块、直流远供电系统调试、室外布放电力电缆；设备连接线、接电端子等材料。
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</si>
  <si>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外市电引入-工程服务新建施工外市电引入直流远供-远端（含机柜、FSU）(电缆乙供）</t>
  </si>
  <si>
    <t>直流远供-远端（含机柜、FSU）(电缆乙供）</t>
  </si>
  <si>
    <t>90010106000000000074</t>
  </si>
  <si>
    <t>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</si>
  <si>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外市电引入-工程服务新建施工外市电引入直流远供局端+远端（远端含机柜、安装直流远供设备）(电缆乙供）</t>
  </si>
  <si>
    <t>直流远供局端+远端（远端含机柜、安装直流远供设备）(电缆乙供）</t>
  </si>
  <si>
    <t>90010106000000000082</t>
  </si>
  <si>
    <t>局端：安装落地式室外综合机柜、安装直流远供电局端模块、直流远供电系统调试、室外布放电力电缆；
远端：安装过压保护装置∕防雷箱、安装直流远供电远端模块、室外布放电力电缆；
工作含设备的运输、搬运、安装，调测、1个灭火器等材料费，电缆需满足铁塔公司技术规范要求，以及按国家标准的分色要求，具体以设计为准。</t>
  </si>
  <si>
    <t>外市电引入-工程服务新建施工外市电引入直流远供局端+远端（仅安装直流远供设备）(电缆乙供）</t>
  </si>
  <si>
    <t>直流远供局端+远端（仅安装直流远供设备）(电缆乙供）</t>
  </si>
  <si>
    <t>90010106000000000078</t>
  </si>
  <si>
    <t>局端：安装直流远供电局端模块、直流远供电系统调试、室外布放电力电缆；
远端：安装过压保护装置∕防雷箱、安装直流远供电远端模块、室外布放电力电缆；
工作含设备的运输、搬运、安装，调测、1个灭火器等材料费，电缆需满足铁塔公司技术规范要求，以及按国家标准的分色要求，具体以设计为准。</t>
  </si>
  <si>
    <t>外市电引入-工程服务新建施工外市电引入直流远供-远端（仅安装直流远供设备）(电缆乙供）</t>
  </si>
  <si>
    <t>直流远供-远端（仅安装直流远供设备）(电缆乙供）</t>
  </si>
  <si>
    <t>90010106000000000076</t>
  </si>
  <si>
    <t>远端：安装过压保护装置∕防雷箱、安装直流远供电远端模块、室外布放电力电缆；
工作含设备的运输、搬运、安装，调测、1个灭火器等材料费，电缆需满足铁塔公司技术规范要求，以及按国家标准的分色要求，具体以设计为准。</t>
  </si>
  <si>
    <t>外市电引入-工程服务新建施工外市电引入直流远供局端+远端（含机柜、电池、FSU）(电缆甲供）</t>
  </si>
  <si>
    <t>直流远供局端+远端（含机柜、电池、FSU）(电缆甲供）</t>
  </si>
  <si>
    <t>90010106000000000077</t>
  </si>
  <si>
    <t>外市电引入-工程服务新建施工外市电引入直流远供局端+远端（含机柜、FSU）(电缆甲供）</t>
  </si>
  <si>
    <t>直流远供局端+远端（含机柜、FSU）(电缆甲供）</t>
  </si>
  <si>
    <t>90010106000000000079</t>
  </si>
  <si>
    <t>外市电引入-工程服务新建施工外市电引入直流远供局端+远端（远端含机柜、FSU）(电缆甲供）</t>
  </si>
  <si>
    <t>直流远供局端+远端（远端含机柜、FSU）(电缆甲供）</t>
  </si>
  <si>
    <t>90010106000000000075</t>
  </si>
  <si>
    <t>外市电引入-工程服务新建施工外市电引入直流远供-远端（含机柜、FSU）(电缆甲供）</t>
  </si>
  <si>
    <t>直流远供-远端（含机柜、FSU）(电缆甲供）</t>
  </si>
  <si>
    <t>90010106000000000080</t>
  </si>
  <si>
    <t>外市电引入-工程服务新建施工外市电引入直流远供局端+远端（远端含机柜、安装直流远供设备）(电缆甲供）</t>
  </si>
  <si>
    <t>直流远供局端+远端（远端含机柜、安装直流远供设备）(电缆甲供）</t>
  </si>
  <si>
    <t>90010106000000000072</t>
  </si>
  <si>
    <t>外市电引入-工程服务新建施工外市电引入直流远供局端+远端（仅安装直流远供设备）(电缆甲供）</t>
  </si>
  <si>
    <t>直流远供局端+远端（仅安装直流远供设备）(电缆甲供）</t>
  </si>
  <si>
    <t>90010106000000000067</t>
  </si>
  <si>
    <t>外市电引入-工程服务新建施工外市电引入直流远供-远端（仅安装直流远供设备）(电缆甲供）</t>
  </si>
  <si>
    <t>直流远供-远端（仅安装直流远供设备）(电缆甲供）</t>
  </si>
  <si>
    <t>90010106000000000065</t>
  </si>
  <si>
    <t>有机房站配套</t>
  </si>
  <si>
    <t>900101040101</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</si>
  <si>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运输、机房（柜）内（间）电力电缆（含电源系统间、设备和机架接地等电缆，不含外电引入电缆(含不超过15米的开关电源至交流配电箱的电力电缆)）、铜鼻子、室外走线架、2个灭火器等材料费，电缆需满足铁塔公司技术规范要求，以及按国家标准的分色要求，具体以设计为准。室外走线架15米（含）以内不再记取，超过15米超过部分可记取改造模块中“安装室外走线架”模块。适用于机房净空面积小于或等于15平方米的活动机房（不含拼装机房）、土建机房、租赁机房新建配套安装。</t>
  </si>
  <si>
    <t>有预算</t>
  </si>
  <si>
    <t>动力配套-工程服务新建施工动力配套有机房站配套机房净空面积小于或等于15平方米电源线甲供</t>
  </si>
  <si>
    <t>90010104010100000005</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</si>
  <si>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铜鼻子、走线架、2个灭火器等材料费。室外走线架15米（含）以内不再记取，超过15米超过部分可记取改造模块中“安装室外走线架”模块。施工所需电力电缆甲供,适用于机房净空面积小于或等于15平方米的活动机房（不含拼装机房）、土建机房、租赁机房新建配套安装。</t>
  </si>
  <si>
    <t>900101040102</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</si>
  <si>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运输、机房（柜）内（间）电力电缆（含电源系统间、设备和机架接地等电缆，不含外电引入电缆(含不超过15米的开关电源至交流配电箱的电力电缆)）、铜鼻子、室外走线架、2个灭火器等材料费，电缆需满足铁塔公司技术规范要求，以及按国家标准的分色要求，具体以设计为准。室外走线架15米（含）以内不再记取，超过15米超过部分可记取改造模块中“安装室外走线架”模块。适用于机房净空面积大于15平方米的活动机房、土建机房、租赁机房新建配套安装。</t>
  </si>
  <si>
    <t>动力配套-工程服务新建施工动力配套有机房站配套机房净空面积大于15平方米电力电缆甲供</t>
  </si>
  <si>
    <t>90010104010200000004</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</si>
  <si>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铜鼻子、走线架、2个灭火器等材料费。室外走线架15米（含）以内不再记取，超过15米超过部分可记取改造模块中“安装室外走线架”模块，施工所需电力电缆甲供，适用于机房净空面积大于15平方米的活动机房（不含拼装机房）、土建机房、租赁机房新建配套安装。</t>
  </si>
  <si>
    <t>拼装机房配套</t>
  </si>
  <si>
    <t>900101040108</t>
  </si>
  <si>
    <t>基准价包含开关电源、蓄电池、电池共用管理器、电力电缆、室外走线架（含接地引入扁钢）、智能门禁系统、断电传感器近端模块等设备的运输、搬运、安装，以及电源系统调测、容量测试及按照设计要求的各类线缆的提供及布放，包含运输、机房（柜）内（间）电力电缆（含电源系统间、设备和机架接地等电缆，不含外电引入电缆(含不超过15米的开关电源至交流配电箱的电力电缆)）、铜鼻子、室外走线架、2个灭火器等材料费，电缆需满足铁塔公司技术规范要求，以及按国家标准的分色要求，具体以设计为准。室外走线架15米（含）以内不再记取，超过15米超过部分可记取改造模块中“安装室外走线架”模块。适用于拼装机房新建配套安装。</t>
  </si>
  <si>
    <t>动力配套-工程服务新建施工动力配套有机房站配套微型机房电力电缆甲供</t>
  </si>
  <si>
    <t>90010104010800000003</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</si>
  <si>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铜鼻子、走线架、2个灭火器等材料费。室外走线架15米（含）以内不再记取，超过15米超过部分可记取改造模块中“安装室外走线架”模块。施工所需电力电缆甲供，适用于拼装机房新建配套安装。</t>
  </si>
  <si>
    <t>室外机柜配套（第1个机柜）</t>
  </si>
  <si>
    <t>900101040200</t>
  </si>
  <si>
    <t>基准价包含户外开关电源、蓄电池、电池共用管理器、电力电缆、室外走线架、断电传感器近端模块等设备及材料安装、电源系统调测和容量测试及线缆布放，包含机房（柜）内（间）电力电缆（含接地排到预留接地点的电缆、电源系统间（含开关电源到蓄电池线缆）、设备和机架接地等电缆，不含外电引入电缆(含不超过15米的开关电源至交流配电箱的电力电缆)）、铜鼻子、室外走线架、接地铜排(可采用扁铁代替地排)等材料费用。室外走线架15米（含）以内不再记取，超过15米超过部分可记取改造模块中“安装室外走线架”模块。电缆需满足铁塔公司技术规范要求，以及按国家标准的分色要求，具体以设计为准。</t>
  </si>
  <si>
    <t>动力配套-工程服务新建施工动力配套室外机柜配套（第1个机柜）电力电缆甲供</t>
  </si>
  <si>
    <t>90010104020000000010</t>
  </si>
  <si>
    <t>基准价包含户外开关电源、蓄电池、电池共用管理器、电力电缆、室外走线架、断电传感器近端模块等设备及材料安装、电源系统调测和容量测试及线缆布放，包含铜鼻子、室外走线架、接地铜排(可采用扁铁代替地排)等材料费用。室外走线架15米（含）以内不再记取，超过15米超过部分可记取改造模块中“安装室外走线架”模块。施工所需电缆甲供。</t>
  </si>
  <si>
    <t>室外机柜配套（每增加1个机柜）</t>
  </si>
  <si>
    <t>900101040300</t>
  </si>
  <si>
    <t>动力配套-工程服务新建施工动力配套室外机柜配套（每增加1个机柜）电力电缆甲供</t>
  </si>
  <si>
    <t>90010104030000000009</t>
  </si>
  <si>
    <t>增1个室外机柜的安装，含开关电源到综合机柜线缆、地排到综合机柜线缆的布放，施工所需电缆甲供。</t>
  </si>
  <si>
    <t>动力配套-工程服务新建施工动力配套动力配套二次搬运山区丘陵土建机房站点100米-500米（含）</t>
  </si>
  <si>
    <t>站点动力配套山区丘陵二次搬运</t>
  </si>
  <si>
    <t>100米-500米（含）</t>
  </si>
  <si>
    <t>90010104040200000002</t>
  </si>
  <si>
    <t>站点动力配套设备及材料的山区二次搬运增加费(100m-500m)（仅能依靠“人背马驮”方式发生的搬运距离，方可计入二次搬运距离；小型农用车/拖拉机等可以到达区域，均不计入二搬距离）</t>
  </si>
  <si>
    <t>明确改造项目新增机柜需记取二次搬运费用</t>
  </si>
  <si>
    <t>无预算</t>
  </si>
  <si>
    <t>壁挂式设备安装</t>
  </si>
  <si>
    <t>900101040500</t>
  </si>
  <si>
    <t>壁挂式高频开关电源、壁挂式机柜的安装及布放（含连接设备的电力电缆、接地线缆等材料），含运输、二次搬运。该模块用于单独安装壁挂设备，成套新建配套不再给取。</t>
  </si>
  <si>
    <t>动力配套-工程服务新建施工动力配套壁挂式设备安装电力电缆甲供</t>
  </si>
  <si>
    <t>90010104050000000005</t>
  </si>
  <si>
    <t>壁挂式高频开关电源、壁挂式机柜的安装及线缆布放，含运输、二次搬运，施工所需电缆甲供。该模块用于单独安装壁挂设备，成套新建配套不再给取。</t>
  </si>
  <si>
    <t>动环监控系统安装调测费</t>
  </si>
  <si>
    <t>自定义安装调测服务</t>
  </si>
  <si>
    <t>900101040601</t>
  </si>
  <si>
    <t>配套施工单位对室内动环监控系统的安装及调测，对门禁系统的接入及调测，对站点需接入动环监控系统设备的接入及调测，含施工材料（包含但不限于线缆、pvc管、铜鼻子、胶泥、胶带、阻燃线槽、防火泥、凡士林、防锈漆、膨胀螺钉、连接螺帽螺丝、C型铜接线夹、焊锡、扎带、室内外标签等）；含运输、二次搬运等</t>
  </si>
  <si>
    <t>户外型FSU安装调测服务</t>
  </si>
  <si>
    <t>900101040602</t>
  </si>
  <si>
    <t>配套施工单位对室外动环监控系统的安装及调测，对站点需接入动环监控系统设备的接入及调测，含施工材料（包含但不限于线缆、pvc管、铜鼻子、胶泥、胶带、阻燃线槽、防火泥、凡士林、防锈漆、膨胀螺钉、连接螺帽螺丝、C型铜接线夹、焊锡、扎带、室内外标签等）；含运输、二次搬运等</t>
  </si>
  <si>
    <t>动力配套施工-基站天线安装费</t>
  </si>
  <si>
    <t>基站天线安装费</t>
  </si>
  <si>
    <t>900101041100</t>
  </si>
  <si>
    <t>基站天线、室外跳线、天线控制器的安装、调测。含布放电源线、地线、传输线、RCU电调控制线、跳线，不含基站天线。具体工作内容以运营商实际要求为准。</t>
  </si>
  <si>
    <t>新增开关电源</t>
  </si>
  <si>
    <t>900201040300</t>
  </si>
  <si>
    <t>动力配套-工程服务改造施工动力配套新增开关电源新增开关电源（存量整治）</t>
  </si>
  <si>
    <t>90020104030000000003</t>
  </si>
  <si>
    <t>室内或室外开关电源设备割接或替换（将旧件搬回甲方指定仓库或将原有开关电源割接至另一站点），电源系统调测，开关电源接入运维监控系统调测，以及配套设施的安装和配电箱到开关电源间线缆及开关电源接地线缆的布放，施工所需电缆甲供。</t>
  </si>
  <si>
    <t>新增蓄电池</t>
  </si>
  <si>
    <t>2V蓄电池</t>
  </si>
  <si>
    <t>900201040401</t>
  </si>
  <si>
    <t>动力配套-工程服务改造施工动力配套新增蓄电池2V蓄电池新增蓄电池2V蓄电池（存量整治）</t>
  </si>
  <si>
    <t>90020104040100000003</t>
  </si>
  <si>
    <t>1组2V蓄电池的新增或替换（将旧件搬回甲方指定仓库）；蓄电池充电测试；以及配套设施的安装和电缆的布放，施工所需电缆甲供。</t>
  </si>
  <si>
    <t>12V蓄电池</t>
  </si>
  <si>
    <t>900201040402</t>
  </si>
  <si>
    <t>动力配套-工程服务改造施工动力配套新增蓄电池12V蓄电池新增蓄电池12V蓄电池（存量整治）</t>
  </si>
  <si>
    <t>90020104040200000003</t>
  </si>
  <si>
    <t>1组12V蓄电池的新增或替换（将旧件搬回甲方指定仓库）；蓄电池充电测试；以及配套设施的安装和电缆的布放，施工所需电缆甲供。</t>
  </si>
  <si>
    <t>动力配套施工-新增油机</t>
  </si>
  <si>
    <t>新增油机</t>
  </si>
  <si>
    <t>900201040500</t>
  </si>
  <si>
    <t>1台30kW及以下油机的新增或替换（将旧件搬回甲方指定仓库），含线缆提供</t>
  </si>
  <si>
    <t>动力配套-工程服务改造施工动力配套新增油机新增油机(电缆甲供)</t>
  </si>
  <si>
    <t>90020104050000000004</t>
  </si>
  <si>
    <t>1台30kW及以下油机的新增或替换（将旧件搬回甲方指定仓库），施工所需电缆甲供。</t>
  </si>
  <si>
    <t>配套设备零星（模块）扩容</t>
  </si>
  <si>
    <t>900201040600</t>
  </si>
  <si>
    <t>含零星配套设备和材料的扩容，配套电缆的布放，空调防盗笼安装等零星材料的安装及材料提供。</t>
  </si>
  <si>
    <t>新增室内综合柜</t>
  </si>
  <si>
    <t>900201041000</t>
  </si>
  <si>
    <t>改为新增机柜，部分室内室外</t>
  </si>
  <si>
    <t>动力配套-工程服务改造施工动力配套新增室内综合柜新增室内综合柜（电缆甲供）</t>
  </si>
  <si>
    <t>90020104100000000004</t>
  </si>
  <si>
    <t>1个室内机柜或室外机柜的新增或替换（将旧件搬回甲方指定仓库）；以及配套设施的安装和电缆（含材料提供）的布放,施工所需电缆甲供。</t>
  </si>
  <si>
    <t>新增UPS</t>
  </si>
  <si>
    <t>900201041400</t>
  </si>
  <si>
    <t>含UPS设备的新增或替换和必要的辅材（含输入、输出、接地线缆提供）的安装，设备和材料的运输等</t>
  </si>
  <si>
    <t>动力配套-工程服务改造施工动力配套新增UPS新增UPS(电缆甲供）</t>
  </si>
  <si>
    <t>90020104140000000006</t>
  </si>
  <si>
    <t>含UPS设备的新增或替换和必要的辅材的安装，设备和材料的运输等，施工所需电缆甲供。</t>
  </si>
  <si>
    <t>动力配套施工-新增交直流转换设备</t>
  </si>
  <si>
    <t>新增交直流转换设备</t>
  </si>
  <si>
    <t>900201041500</t>
  </si>
  <si>
    <t>含交直流转换设备的新增或替换及必要的辅材（含材料提供）的安装调测，以及设备和材料的运输等。</t>
  </si>
  <si>
    <t>动力配套-工程服务改造施工动力配套新增交直流转换设备新增交直流转换设备（维护整治）</t>
  </si>
  <si>
    <t>90020104150000000002</t>
  </si>
  <si>
    <t>含交直流转换设备的新增或替换及必要的辅材的安装调测，以及设备和材料的运输等，施工所需电缆甲供。</t>
  </si>
  <si>
    <t>新增交流配电箱</t>
  </si>
  <si>
    <t>900201041600</t>
  </si>
  <si>
    <t>建议调价至：1200</t>
  </si>
  <si>
    <t>动力配套-工程服务改造施工动力配套新增交流配电箱新增交流配电箱（维护整治）</t>
  </si>
  <si>
    <t>新增交直流配电箱</t>
  </si>
  <si>
    <t>90020104160000000002</t>
  </si>
  <si>
    <t>含交流配电箱或直流分配箱新增或替换和电缆的布放，施工所需电缆甲供；按每设备数量为计价单位。</t>
  </si>
  <si>
    <t>安装空开</t>
  </si>
  <si>
    <t>900201041700</t>
  </si>
  <si>
    <t>含空开的安装和替换等（含空开提供），按柜体数量计工程量</t>
  </si>
  <si>
    <t>安装开关电源模块</t>
  </si>
  <si>
    <t>900201041800</t>
  </si>
  <si>
    <t>含开关电源模块的安装和替换，配合调测等；必要的辅材提供；以及设备和材料的运输等（电源模块乙供），按整流模块数量计量</t>
  </si>
  <si>
    <t>动力配套施工-蓄电池搬迁2V蓄电池</t>
  </si>
  <si>
    <t>蓄电池搬迁</t>
  </si>
  <si>
    <t>900201041901</t>
  </si>
  <si>
    <t>1组2V蓄电池的拆除，搬迁，安装、电源系统调测等；包含蓄电池到开关电源之间的电力电缆（含接地排到预留接地点的电缆、电源系统间的接地等电缆），电缆需满足铁塔公司技术规范要求，以及按国家标准的分色要求，具体以设计为准；以及配套电力电缆等布放；按一组为计价单位</t>
  </si>
  <si>
    <t>动力配套-工程服务改造施工动力配套蓄电池搬迁蓄电池2V蓄电池搬迁2V蓄电池（存量整治）</t>
  </si>
  <si>
    <t>90020104190101000002</t>
  </si>
  <si>
    <t>1组2V蓄电池的拆除，搬迁，安装、电源系统调测等，施工所需电缆甲供；按一组为计价单位</t>
  </si>
  <si>
    <t>安装直流分配箱/更换模块插框</t>
  </si>
  <si>
    <t>90020104130000000009</t>
  </si>
  <si>
    <t>动力配套-工程服务改造施工动力配套新增直流分配箱安装直流分配箱/更换模块插框（电缆甲供）</t>
  </si>
  <si>
    <t>90020104130000000010</t>
  </si>
  <si>
    <t>1、安装直流分配箱（甲供）/更换模块插框（乙供）；2、连接直流分配箱至开关电源图纸指定空余端子；3、连接动环并调测成功；4、将废旧插框运送到指定仓库；5、施工所需电缆甲供。</t>
  </si>
  <si>
    <t>动力配套-工程服务改造施工动力配套安装交流配电箱交流配电箱改造整治（电缆乙供）</t>
  </si>
  <si>
    <t>交流配电箱改造整治</t>
  </si>
  <si>
    <t>90020104310000000003</t>
  </si>
  <si>
    <t>1.交流配电箱的改造整治施工（含拆除旧设备并运送到指定仓库、安装新设备）；2、相关材料的搬运；3、必要的安装材料</t>
  </si>
  <si>
    <t>动力配套-工程服务改造施工动力配套安装交流配电箱交流配电箱改造整治（电缆甲供）</t>
  </si>
  <si>
    <t>90020104310000000002</t>
  </si>
  <si>
    <t>1.交流配电箱的改造整治施工（含拆除旧设备并运送到指定仓库、安装新设备）；2、相关材料的搬运；3、施工所需电缆甲供</t>
  </si>
  <si>
    <t>空调整治施工</t>
  </si>
  <si>
    <t>900201043200</t>
  </si>
  <si>
    <t>900101044500</t>
  </si>
  <si>
    <t>900201042300</t>
  </si>
  <si>
    <t>900201042400</t>
  </si>
  <si>
    <t>900101044600</t>
  </si>
  <si>
    <t>新增铁锂电池（室内站）-含拆除原有电池</t>
  </si>
  <si>
    <t>900201040419</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</si>
  <si>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等；4、包含电力电缆，电缆需满足铁塔公司技术规范要求以及按国家标准的要求，具体以设计为准；5、梯级利用电池接入运维监控系统调测；适用于室内站；</t>
  </si>
  <si>
    <t>动力配套-工程服务改造施工动力配套新增蓄电池锂电池安装新增铁锂电池（室内站）-含拆除原有电池(电缆甲供）</t>
  </si>
  <si>
    <t>90020104040300000008</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</si>
  <si>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施工所需电缆甲供）以及辅材辅料提供，包含铜鼻子（各种规格）、防火泥、扎带、胶带、凡士林等；4、梯级利用电池接入运维监控系统调测；适用于室内站；</t>
  </si>
  <si>
    <t>新增铁锂电池（室外站）-含拆除原有电池</t>
  </si>
  <si>
    <t>900201040420</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</si>
  <si>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等；4、包含电力电缆，电缆需满足铁塔公司技术规范要求以及按国家标准的要求，具体以设计为准；5、梯级利用电池接入运维监控系统调测；适用于室外站；</t>
  </si>
  <si>
    <t>动力配套-工程服务改造施工动力配套新增蓄电池锂电池安装新增铁锂电池（室外站）-含拆除原有电池（甲供）</t>
  </si>
  <si>
    <t>90020104040300000007</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</si>
  <si>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施工所需电缆甲供）的布放以及辅材辅料提供，包含铜鼻子（各种规格）、防火泥、扎带、胶带、凡士林等；4、梯级利用电池接入运维监控系统调测；适用于室外站；</t>
  </si>
  <si>
    <t>动力配套施工-改造动力配套配套设备零星（模块）扩容室外机柜配套(砼基础、每增加1个机柜)</t>
  </si>
  <si>
    <t>室外机柜配套（每增加1个机柜）+砼基础</t>
  </si>
  <si>
    <t>900201040602</t>
  </si>
  <si>
    <t>增1个室外机柜的安装及砼基础（1.1m*1m*0.3m），室外机柜安装包含开关电源到综合机柜线缆（含电源一次下电到机柜一次下电空开2根线缆、电源二次下电到机柜二次下电空开1主1备4根线缆）、地排到综合机柜线缆的布放及材料费。机柜基础包工包料。含防水层恢复、材料、预埋管材、人工费、机械台班、运输、二次搬运等，以及工程不可预见的发电、抽水，三通一平等内容。具体以设计为准。用于地面、楼面水泥平台。</t>
  </si>
  <si>
    <t>建议调价至：2100</t>
  </si>
  <si>
    <t>动力配套-工程服务改造施工动力配套配套设备零星（模块）扩容室外机柜配套(砼基础、每增加1个机柜)室外机柜配套（每增加1个机柜）+砼基础（电缆甲供）</t>
  </si>
  <si>
    <t>90020104060200000002</t>
  </si>
  <si>
    <t>增1个室外机柜的安装及砼基础（1.1m*1m*0.3m），室外机柜安装包含开关电源到综合机柜线缆（施工所需电缆甲供）、地排到综合机柜线缆的布放及材料费。机柜基础包工包料。含防水层恢复、材料、预埋管材、人工费、机械台班、运输、二次搬运等，以及工程不可预见的发电、抽水，三通一平等内容。具体以设计为准。用于地面、楼面水泥平台。</t>
  </si>
  <si>
    <t>动力配套施工-改造动力配套配套设备零星（模块）扩容室外机柜配套(槽钢底座、每增加1个机柜)</t>
  </si>
  <si>
    <t>室外机柜配套（每增加1个机柜）+槽钢底座</t>
  </si>
  <si>
    <t>900201040603</t>
  </si>
  <si>
    <t>增1个室外机柜的安装及钢基础，室外机柜安装包含开关电源到综合机柜线缆（含电源一次下电到机柜一次下电空开2根线缆、电源二次下电到机柜二次下电空开1主1备4根线缆）、地排到综合机柜线缆的布放及材料费。机柜基础包工包料。含防水层恢复、材料、预埋管材、人工费、机械台班、运输、二次搬运等，以及工程不可预见的发电、抽水，三通一平等内容。具体以设计为准。用于地面、楼面钢结构平台。</t>
  </si>
  <si>
    <t>动力配套-工程服务改造施工动力配套配套设备零星（模块）扩容室外机柜配套(槽钢底座、每增加1个机柜)室外机柜配套（每增加1个机柜）+槽钢底座（电缆甲供）</t>
  </si>
  <si>
    <t>室外机柜配套（每增加1个机柜）+槽钢底座（电缆甲供）</t>
  </si>
  <si>
    <t>90020104060300000002</t>
  </si>
  <si>
    <t>增1个室外机柜的安装及钢基础，室外机柜安装包含开关电源到综合机柜线缆、地排到综合机柜线缆的布放及材料费（施工所需电缆甲供）。机柜基础包工包料。含防水层恢复、材料、预埋管材、人工费、机械台班、运输、二次搬运等，以及工程不可预见的发电、抽水，三通一平等内容。具体以设计为准。用于地面、楼面钢结构平台。</t>
  </si>
  <si>
    <t>基站（设备）搬迁（室内站）</t>
  </si>
  <si>
    <t>900201040110</t>
  </si>
  <si>
    <t>室内站设备搬迁含开关电源、蓄电池、空调、通风系统、动环监控系统、油机、综合机柜（含电源一次下电到机柜一次下电空开2根线缆、电源二次下电到机柜二次下电空开1主1备4根线缆）、交流配电箱等设备的拆除，搬迁，安装、电源系统调测等；包含机房（柜）内（间）电力电缆（含接地排到预留接地点的电缆、电源系统间、设备和机架接地等电缆，不含外电引入电缆）、铜鼻子等，电缆需满足铁塔公司技术规范要求，以及按国家标准的分色要求，具体以设计为准；以及配套电力电缆等布放。具体以设计为准。按单站为计价单位</t>
  </si>
  <si>
    <t>基站（设备）搬迁（室外站）</t>
  </si>
  <si>
    <t>900201040111</t>
  </si>
  <si>
    <t>室外站设备搬迁含开关电源、蓄电池、动环监控系统、综合机柜（含电源一次下电到机柜一次下电空开2根线缆、电源二次下电到机柜二次下电空开1主1备4根线缆）、交流配电箱等配套设备拆除、搬运、安装，包含所有线缆、铜鼻子、走线架、地排等材料的拆除和安装（含新建需要补充的线缆、铜鼻子、走线架、地排等材料）。具体以设计为准。按单站为计价单位</t>
  </si>
  <si>
    <t>负载智能断路器</t>
  </si>
  <si>
    <t>90020104270700000001</t>
  </si>
  <si>
    <t>动力配套-工程服务改造施工动力配套零星改造安装负载智能断路器设备安装所需电缆甲供</t>
  </si>
  <si>
    <t>90020104270700000002</t>
  </si>
  <si>
    <t>室内或室外智能负载断路器的安装调试，含负载的割接，改造使用电力电缆材料及施工（施工所需电缆甲供）。智能负载断路接入动力环境监控以及动力环境监控的调测。</t>
  </si>
  <si>
    <t>新增铁锂电池-不拆除原有电池</t>
  </si>
  <si>
    <t>900201040423</t>
  </si>
  <si>
    <t>指新增铁锂电池及电池共用管理器；包含工作内容：1、蓄电池及电池共用管理器的搬运（从指定仓库搬运至基站）、安装、调测；2、开关电源及电池共用管理器参数的设置。3、配套设施的安装和电缆的布放以及辅材辅料提供，包含铜鼻子（各种规格）、防火泥、扎带、胶带、凡士林等；4、包含电力电缆，电缆需满足铁塔公司技术规范要求以及按国家标准的要求，具体以设计为准；5、新增电池及电池共用管理器接入运维监控系统调测；</t>
  </si>
  <si>
    <t>动力配套-工程服务改造施工动力配套新增蓄电池锂电池安装新增铁锂电池-不拆除原有电池（电缆甲供）</t>
  </si>
  <si>
    <t>90020104040300000006</t>
  </si>
  <si>
    <t>指新增铁锂电池及电池共用管理器；包含工作内容：1、蓄电池及电池共用管理器的搬运（从指定仓库搬运至基站）、安装、调测；2、开关电源及电池共用管理器参数的设置。3、配套设施的安装和电缆（施工所需电缆甲供）的布放以及辅材辅料提供，包含铜鼻子（各种规格）、防火泥、扎带、胶带、凡士林等；4、新增电池及电池共用管理器接入运维监控系统调测；</t>
  </si>
  <si>
    <t>原有机柜位置调整或拆除</t>
  </si>
  <si>
    <t>90020104000000000042</t>
  </si>
  <si>
    <t>交流配电箱至开关电源线更换</t>
  </si>
  <si>
    <t>90020104000000000043</t>
  </si>
  <si>
    <t>电池架</t>
  </si>
  <si>
    <t>90020104060000000026</t>
  </si>
  <si>
    <t>动力配套-工程服务改造施工动力配套配套设备零星（模块）扩容配套施工手井孔</t>
  </si>
  <si>
    <t>90020104060000000005</t>
  </si>
  <si>
    <t>包工包料,新增机房至手孔、手孔至塔基管孔，采用4*φ110PVC管</t>
  </si>
  <si>
    <t>基站天线调整</t>
  </si>
  <si>
    <t>90020104060000000025</t>
  </si>
  <si>
    <t>动力配套-工程服务新建施工动力配套动力配套二次搬运山区丘陵土建机房站点500米-1000米（含）</t>
  </si>
  <si>
    <t>500米-1000米（含）</t>
  </si>
  <si>
    <t>90010104040200000003</t>
  </si>
  <si>
    <t>站点动力配套设备及材料的山区二次搬运增加费(500m-1000m)（仅能依靠“人背马驮”方式发生的搬运距离，方可计入二次搬运距离；小型农用车/拖拉机等可以到达区域，均不计入二搬距离）</t>
  </si>
  <si>
    <t>动力配套-工程服务新建施工动力配套动力配套二次搬运山区丘陵土建机房站点1000米-2000米（含）</t>
  </si>
  <si>
    <t>1000米-2000米（含）</t>
  </si>
  <si>
    <t>90010104040200000004</t>
  </si>
  <si>
    <t>站点动力配套设备及材料的山区二次搬运增加费(1000-2000m以上)（仅能依靠“人背马驮”方式发生的搬运距离，方可计入二次搬运距离；小型农用车/拖拉机等可以到达区域，均不计入二搬距离）</t>
  </si>
  <si>
    <t>空调安装</t>
  </si>
  <si>
    <t>90010104070000000004</t>
  </si>
  <si>
    <t>动力配套-工程服务改造施工动力配套配套设备零星（模块）扩容蓄电池拆除施工-2V蓄电池</t>
  </si>
  <si>
    <t>蓄电池拆除施工</t>
  </si>
  <si>
    <t>90020104060000000017</t>
  </si>
  <si>
    <t>1、拆旧电池；2、按组废旧蓄电池搬运到指定仓库。</t>
  </si>
  <si>
    <t>建议模块内容包含铁锂电池的拆除</t>
  </si>
  <si>
    <t>动力配套-工程服务改造施工动力配套配套设备零星（模块）扩容蓄电池拆除施工-12V蓄电池</t>
  </si>
  <si>
    <t>90020104060000000020</t>
  </si>
  <si>
    <t>电源柜拆除施工</t>
  </si>
  <si>
    <t>90020104060000000023</t>
  </si>
  <si>
    <t>综合柜拆除施工</t>
  </si>
  <si>
    <t>90020104060000000018</t>
  </si>
  <si>
    <t>动力配套-工程服务改造施工动力配套配套设备零星（模块）扩容安装空调铜管、氟</t>
  </si>
  <si>
    <t>安装空调铜管、氟</t>
  </si>
  <si>
    <t>90020104060000000022</t>
  </si>
  <si>
    <t>含空调铜管、氟的安装和替换等（含空开提供），按空调数量计工程量</t>
  </si>
  <si>
    <t>安装新整流模块</t>
  </si>
  <si>
    <t>90300102045w0a00000031</t>
  </si>
  <si>
    <t>新增开关电源-不拆除原有设备</t>
  </si>
  <si>
    <t>90020104030000000007</t>
  </si>
  <si>
    <t>不区分开关单元类型</t>
  </si>
  <si>
    <t>动力配套-工程服务改造施工动力配套新增开关电源新增开关电源-不拆除原有设备（电缆甲供）</t>
  </si>
  <si>
    <t>90020104030000000008</t>
  </si>
  <si>
    <t>动力配套-工程服务改造施工动力配套配套设备零星（模块）扩容一体化机柜基础-按基础面积计价</t>
  </si>
  <si>
    <t>90020104060000000016</t>
  </si>
  <si>
    <t>包工包料，按照一体化机柜基础面积“平方米”综合计价。含防水层恢复、材料、预埋管材、人工费、机械台班、运输、二次搬运等，以及工程不可预见的发电、抽水，三通一平等内容。具体以设计为准。用于地面、楼面水泥平台。</t>
  </si>
  <si>
    <t>建议调价至：1300</t>
  </si>
  <si>
    <t>90020104060000000024</t>
  </si>
  <si>
    <t>增加GPS抱杆，含GPS抱杆施工以及必要的材料、搬运、安装等。</t>
  </si>
  <si>
    <t>微站型/简易型动环监控系统安装调测费</t>
  </si>
  <si>
    <t>微站/简易型FSU安装调测服务</t>
  </si>
  <si>
    <t>90010104060205010001</t>
  </si>
  <si>
    <t>动力配套-工程服务新建施工动力配套按站依照定额或经济签证计价</t>
  </si>
  <si>
    <t>90010104000000000001</t>
  </si>
  <si>
    <t>施工-宏站-新建-动力配套-调遣费-300km以上</t>
  </si>
  <si>
    <t>90300101046d0000000266</t>
  </si>
  <si>
    <t>施工-宏站-新建-动力配套-调遣费-200-300km(含)</t>
  </si>
  <si>
    <t>90300101046d0000000264</t>
  </si>
  <si>
    <t>施工-宏站-新建-动力配套-调遣费-100-200km(含)</t>
  </si>
  <si>
    <t>90300101046d0000000265</t>
  </si>
  <si>
    <t>施工-宏站-新建-动力配套-调遣费-35-100km(含)</t>
  </si>
  <si>
    <t>90300101046d0000000263</t>
  </si>
  <si>
    <t>包工包料，含12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过路费、青苗赔补费。</t>
  </si>
  <si>
    <t>包工包料，含2根12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过路费、青苗赔补费。</t>
  </si>
  <si>
    <t>包工包料，含15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过路费、青苗赔补费。</t>
  </si>
  <si>
    <t>包工包料，含2根15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过路费、青苗赔补费。</t>
  </si>
  <si>
    <t>包工包料，含12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</si>
  <si>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15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</si>
  <si>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2根12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</si>
  <si>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2根15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</si>
  <si>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9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</si>
  <si>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专业1</t>
  </si>
  <si>
    <t>专业2</t>
  </si>
  <si>
    <t>物料编码</t>
  </si>
  <si>
    <t>智能真空断路器</t>
  </si>
  <si>
    <t>拆除变压器</t>
  </si>
  <si>
    <t>变压器拆除</t>
  </si>
  <si>
    <t>拆除原有变压器</t>
  </si>
  <si>
    <t>利旧原有杆路加顶套</t>
  </si>
  <si>
    <t>包干价，含青苗赔补、协调费，铁附件、金具等的施工安装</t>
  </si>
  <si>
    <t>低压（220V）/低压（380V）</t>
  </si>
  <si>
    <t>电表箱</t>
  </si>
  <si>
    <t>顶管</t>
  </si>
  <si>
    <t>包干价（含赔补、协调费等。工程量含：顶管、人孔及手孔等新建，包括顶管管材为PE管，管径为110mm、安装地埋标石、材料搬运、地貌恢复等和其它规范要求工作量。按相关规范施工。以实际长度记取，不含电缆敷设。</t>
  </si>
  <si>
    <t>高压/低压</t>
  </si>
  <si>
    <t>电缆井</t>
  </si>
  <si>
    <t>元/井</t>
  </si>
  <si>
    <t>包干价（含赔补、协调费等），工程量含：标准尺寸电缆井红砖砌筑或混凝土浇筑，井盖购买及安装标高调平。</t>
  </si>
  <si>
    <t>70mm²高压铜缆（地埋）</t>
  </si>
  <si>
    <t>包干价，含材料购买及安装施工，电缆品牌需满足铁塔入围品牌要求，型号需满足当地电力部门验收要求，施工工艺满足铁塔对地埋电缆的其他要求</t>
  </si>
  <si>
    <t>电网最新要求</t>
  </si>
  <si>
    <t>70mm²高压铜缆（利旧管道）</t>
  </si>
  <si>
    <t>包干价，含材料购买及安装施工，电缆品牌需满足铁塔入围品牌要求，型号需满足当地电力部门验收要求</t>
  </si>
  <si>
    <t>低压电力用户分界配电箱(380V/220V)</t>
  </si>
  <si>
    <t>工程量含：电表箱提供及内装设备的安装，断电传感器远端模块的安装，低压搭火，含电表箱的安装，各项调测及其它规范要求工作量，由建设单位认定此费用是否计取。</t>
  </si>
  <si>
    <t>报装费</t>
  </si>
  <si>
    <t>高压电力用户分界配电箱(10KV)</t>
  </si>
  <si>
    <t>电力线路拆除（高压）</t>
  </si>
  <si>
    <t>电力线路拆除</t>
  </si>
  <si>
    <t>电力线缆本体及辅材(铁附件金具、绝缘子、沿墙管材等)拆除、拆除物资返库的运输费，不包括电力杆塔拆除工作量，线缆拆除以实际拆除电力线路的路由长度为基准。本模块仅适用于新增电力线路时阶带电力线路拆除的场景。</t>
  </si>
  <si>
    <t>电力线路拆除（低压）</t>
  </si>
  <si>
    <t>电杆拆除</t>
  </si>
  <si>
    <t>电力线路中钢吊线的接地拆除，拆除物资返库的运输费，整段式或分段式水泥电杆现场拆除，不回收。本模块仅适用于新增电力线路时附带电力线路拆除的场景</t>
  </si>
  <si>
    <t>增加支臂、防雷引下线、垂直接地体</t>
  </si>
  <si>
    <t>水泥杆上增加增加支臂、防雷引下线、垂直接地体，需要热镀锌含物资及施工。</t>
  </si>
  <si>
    <t>电力单位一体化施工</t>
  </si>
  <si>
    <t>安装空开（甲供空开）</t>
  </si>
  <si>
    <t>含空开的安装和替换等（空开甲供），按柜体数量计工程量</t>
  </si>
  <si>
    <t>安装接地排（改造站）</t>
  </si>
  <si>
    <t>BBU、PTN、SPN、OLT安装</t>
  </si>
  <si>
    <t>含施工、一（二）次搬运、废旧物资退回费。（乙供电源线，符合设计规范铜线）</t>
  </si>
  <si>
    <t>天线/AAU安装</t>
  </si>
  <si>
    <t>含施工、一（二）次搬运、废旧物资退回费。按扇区结算</t>
  </si>
  <si>
    <t>RRU安装</t>
  </si>
  <si>
    <t>GPS天线安装</t>
  </si>
  <si>
    <t>含施工、一（二）次搬运、废旧物资退回费。除甲供材料外由施工方提供材料。</t>
  </si>
  <si>
    <t>电源线</t>
  </si>
  <si>
    <t>RRU电源线（乙供）</t>
  </si>
  <si>
    <t>含材料施工，2*4铜缆（乙供）</t>
  </si>
  <si>
    <t>RRU电源线（甲供）</t>
  </si>
  <si>
    <t>含材料施工，2*4铜缆（甲供）</t>
  </si>
  <si>
    <t>BBU电源线（乙供）</t>
  </si>
  <si>
    <t>含材料施工，1*16铜缆（乙供）</t>
  </si>
  <si>
    <t>野战光缆</t>
  </si>
  <si>
    <t>野战光缆（甲供）</t>
  </si>
  <si>
    <t>野战光缆施工（甲供），同一物理站点3个以下按每增加一个小区在前一个小区费用基础上降低50%，</t>
  </si>
  <si>
    <t>野战光缆（乙供）</t>
  </si>
  <si>
    <t>野战光缆施工（乙供）， 同一物理站点3个以下按每增加一个小区在前一个小区费用基础上降低50%，</t>
  </si>
  <si>
    <t>尾纤布放</t>
  </si>
  <si>
    <t>含施工、一（二）次搬运、废旧物资退回费（乙供）</t>
  </si>
  <si>
    <t>土建/杆塔</t>
  </si>
  <si>
    <t>杆塔</t>
  </si>
  <si>
    <t>拆除老旧支臂</t>
  </si>
  <si>
    <t>将塔身上的支臂拆除、运输（运回指定地点）、搬运。不得暴力拆除，损毁构件需修复完好，确保可以二次搬迁使用。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</si>
</sst>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 numFmtId="178" formatCode="0.00_ "/>
    <numFmt numFmtId="179" formatCode="#,##0.00_);[Red]\(#,##0.00\)"/>
    <numFmt numFmtId="180" formatCode="0.0%"/>
    <numFmt numFmtId="181" formatCode="0.00_);\(0.00\)"/>
  </numFmts>
  <fonts count="53">
    <font>
      <sz val="11"/>
      <color theme="1"/>
      <name val="宋体"/>
      <charset val="134"/>
      <scheme val="minor"/>
    </font>
    <font>
      <b/>
      <sz val="10"/>
      <color theme="1"/>
      <name val="宋体"/>
      <charset val="134"/>
      <scheme val="minor"/>
    </font>
    <font>
      <b/>
      <sz val="10"/>
      <color theme="1"/>
      <name val="微软雅黑"/>
      <charset val="134"/>
    </font>
    <font>
      <sz val="11"/>
      <color theme="1"/>
      <name val="微软雅黑"/>
      <charset val="134"/>
    </font>
    <font>
      <sz val="8"/>
      <color theme="1"/>
      <name val="微软雅黑"/>
      <charset val="134"/>
    </font>
    <font>
      <sz val="8"/>
      <color theme="1"/>
      <name val="宋体"/>
      <charset val="134"/>
      <scheme val="minor"/>
    </font>
    <font>
      <sz val="10"/>
      <color theme="1"/>
      <name val="微软雅黑"/>
      <charset val="134"/>
    </font>
    <font>
      <b/>
      <sz val="10"/>
      <name val="微软雅黑"/>
      <charset val="134"/>
    </font>
    <font>
      <sz val="8"/>
      <name val="微软雅黑"/>
      <charset val="134"/>
    </font>
    <font>
      <sz val="11"/>
      <name val="宋体"/>
      <charset val="134"/>
      <scheme val="minor"/>
    </font>
    <font>
      <b/>
      <sz val="8"/>
      <color rgb="FFFF0000"/>
      <name val="微软雅黑"/>
      <charset val="134"/>
    </font>
    <font>
      <sz val="8"/>
      <color rgb="FF333333"/>
      <name val="微软雅黑"/>
      <charset val="134"/>
    </font>
    <font>
      <sz val="8"/>
      <color rgb="FF000000"/>
      <name val="仿宋"/>
      <charset val="134"/>
    </font>
    <font>
      <sz val="8"/>
      <color theme="1"/>
      <name val="宋体"/>
      <charset val="134"/>
    </font>
    <font>
      <sz val="12"/>
      <color theme="1"/>
      <name val="宋体"/>
      <charset val="134"/>
      <scheme val="minor"/>
    </font>
    <font>
      <b/>
      <sz val="11"/>
      <name val="微软雅黑"/>
      <charset val="134"/>
    </font>
    <font>
      <b/>
      <sz val="11"/>
      <color rgb="FFFF0000"/>
      <name val="宋体"/>
      <charset val="134"/>
      <scheme val="minor"/>
    </font>
    <font>
      <b/>
      <sz val="12"/>
      <color rgb="FFFF0000"/>
      <name val="宋体"/>
      <charset val="134"/>
      <scheme val="minor"/>
    </font>
    <font>
      <b/>
      <sz val="11"/>
      <name val="宋体"/>
      <charset val="134"/>
      <scheme val="minor"/>
    </font>
    <font>
      <b/>
      <sz val="12"/>
      <name val="宋体"/>
      <charset val="134"/>
      <scheme val="minor"/>
    </font>
    <font>
      <sz val="8"/>
      <name val="宋体"/>
      <charset val="134"/>
    </font>
    <font>
      <sz val="12"/>
      <name val="宋体"/>
      <charset val="134"/>
    </font>
    <font>
      <sz val="20"/>
      <color theme="1"/>
      <name val="微软雅黑"/>
      <charset val="134"/>
    </font>
    <font>
      <sz val="11"/>
      <name val="微软雅黑"/>
      <charset val="134"/>
    </font>
    <font>
      <sz val="18"/>
      <color theme="1"/>
      <name val="微软雅黑"/>
      <charset val="134"/>
    </font>
    <font>
      <sz val="12"/>
      <color theme="1"/>
      <name val="微软雅黑"/>
      <charset val="134"/>
    </font>
    <font>
      <sz val="11"/>
      <color indexed="8"/>
      <name val="微软雅黑"/>
      <charset val="134"/>
    </font>
    <font>
      <sz val="9"/>
      <name val="微软雅黑"/>
      <charset val="134"/>
    </font>
    <font>
      <sz val="9"/>
      <color theme="1"/>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9"/>
      <color theme="1"/>
      <name val="宋体"/>
      <charset val="134"/>
      <scheme val="minor"/>
    </font>
    <font>
      <sz val="10"/>
      <color rgb="FFFF0000"/>
      <name val="微软雅黑"/>
      <charset val="134"/>
    </font>
    <font>
      <b/>
      <sz val="10"/>
      <color rgb="FFFF0000"/>
      <name val="微软雅黑"/>
      <charset val="134"/>
    </font>
  </fonts>
  <fills count="40">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00B050"/>
        <bgColor indexed="64"/>
      </patternFill>
    </fill>
    <fill>
      <patternFill patternType="solid">
        <fgColor theme="6" tint="0.399731437116611"/>
        <bgColor indexed="64"/>
      </patternFill>
    </fill>
    <fill>
      <patternFill patternType="solid">
        <fgColor theme="6" tint="0.39976195562608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9" borderId="10"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1" applyNumberFormat="0" applyFill="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7" fillId="0" borderId="0" applyNumberFormat="0" applyFill="0" applyBorder="0" applyAlignment="0" applyProtection="0">
      <alignment vertical="center"/>
    </xf>
    <xf numFmtId="0" fontId="38" fillId="10" borderId="13" applyNumberFormat="0" applyAlignment="0" applyProtection="0">
      <alignment vertical="center"/>
    </xf>
    <xf numFmtId="0" fontId="39" fillId="11" borderId="14" applyNumberFormat="0" applyAlignment="0" applyProtection="0">
      <alignment vertical="center"/>
    </xf>
    <xf numFmtId="0" fontId="40" fillId="11" borderId="13" applyNumberFormat="0" applyAlignment="0" applyProtection="0">
      <alignment vertical="center"/>
    </xf>
    <xf numFmtId="0" fontId="41" fillId="12" borderId="15" applyNumberFormat="0" applyAlignment="0" applyProtection="0">
      <alignment vertical="center"/>
    </xf>
    <xf numFmtId="0" fontId="42" fillId="0" borderId="16" applyNumberFormat="0" applyFill="0" applyAlignment="0" applyProtection="0">
      <alignment vertical="center"/>
    </xf>
    <xf numFmtId="0" fontId="43" fillId="0" borderId="17" applyNumberFormat="0" applyFill="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7" fillId="39" borderId="0" applyNumberFormat="0" applyBorder="0" applyAlignment="0" applyProtection="0">
      <alignment vertical="center"/>
    </xf>
    <xf numFmtId="0" fontId="49" fillId="0" borderId="0"/>
    <xf numFmtId="0" fontId="50" fillId="0" borderId="0"/>
    <xf numFmtId="0" fontId="49" fillId="0" borderId="0"/>
    <xf numFmtId="0" fontId="0" fillId="0" borderId="0">
      <alignment vertical="center"/>
    </xf>
    <xf numFmtId="43" fontId="0" fillId="0" borderId="0" applyFont="0" applyFill="0" applyBorder="0" applyAlignment="0" applyProtection="0">
      <alignment vertical="center"/>
    </xf>
  </cellStyleXfs>
  <cellXfs count="316">
    <xf numFmtId="0" fontId="0" fillId="0" borderId="0" xfId="0">
      <alignment vertical="center"/>
    </xf>
    <xf numFmtId="176" fontId="1" fillId="0" borderId="0" xfId="0" applyNumberFormat="1" applyFont="1">
      <alignment vertical="center"/>
    </xf>
    <xf numFmtId="176" fontId="2" fillId="0" borderId="1" xfId="0" applyNumberFormat="1" applyFont="1" applyBorder="1" applyAlignment="1">
      <alignment horizontal="center" vertical="center"/>
    </xf>
    <xf numFmtId="49" fontId="2" fillId="0" borderId="1" xfId="49" applyNumberFormat="1" applyFont="1" applyBorder="1" applyAlignment="1">
      <alignment horizontal="center" vertical="center"/>
    </xf>
    <xf numFmtId="49" fontId="2" fillId="0" borderId="1" xfId="51" applyNumberFormat="1" applyFont="1" applyBorder="1" applyAlignment="1">
      <alignment horizontal="center" vertical="center"/>
    </xf>
    <xf numFmtId="176" fontId="1" fillId="0" borderId="1" xfId="0" applyNumberFormat="1" applyFont="1" applyBorder="1" applyAlignment="1">
      <alignment horizontal="center" vertical="center"/>
    </xf>
    <xf numFmtId="0" fontId="3" fillId="0" borderId="1" xfId="0" applyFont="1" applyBorder="1" applyAlignment="1">
      <alignment horizontal="center" vertical="center"/>
    </xf>
    <xf numFmtId="49" fontId="4" fillId="0" borderId="1" xfId="49" applyNumberFormat="1" applyFont="1" applyBorder="1" applyAlignment="1">
      <alignment horizontal="center" vertical="center"/>
    </xf>
    <xf numFmtId="177"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49" applyFont="1" applyBorder="1" applyAlignment="1">
      <alignment horizontal="center" vertical="center"/>
    </xf>
    <xf numFmtId="177" fontId="4" fillId="0" borderId="1" xfId="0" applyNumberFormat="1" applyFont="1" applyBorder="1" applyAlignment="1">
      <alignment horizontal="center" vertical="center" wrapText="1"/>
    </xf>
    <xf numFmtId="178" fontId="4" fillId="0" borderId="1" xfId="49" applyNumberFormat="1"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lignment vertical="center"/>
    </xf>
    <xf numFmtId="0" fontId="4" fillId="0" borderId="1" xfId="49" applyFont="1" applyBorder="1" applyAlignment="1">
      <alignment horizontal="left" vertical="center" wrapText="1"/>
    </xf>
    <xf numFmtId="0" fontId="6" fillId="0" borderId="0" xfId="0" applyFont="1" applyAlignment="1">
      <alignment horizontal="center" vertical="center"/>
    </xf>
    <xf numFmtId="0" fontId="4" fillId="2" borderId="0" xfId="0" applyFont="1" applyFill="1" applyAlignment="1">
      <alignment horizontal="center" vertical="center"/>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2" fillId="0" borderId="3" xfId="0" applyFont="1" applyBorder="1" applyAlignment="1">
      <alignment horizontal="center" vertical="center"/>
    </xf>
    <xf numFmtId="49" fontId="7" fillId="0" borderId="3" xfId="49" applyNumberFormat="1" applyFont="1" applyBorder="1" applyAlignment="1">
      <alignment horizontal="center" vertical="center" wrapText="1"/>
    </xf>
    <xf numFmtId="49" fontId="7" fillId="0" borderId="3" xfId="49" applyNumberFormat="1" applyFont="1" applyBorder="1" applyAlignment="1">
      <alignment horizontal="center" vertical="center"/>
    </xf>
    <xf numFmtId="49" fontId="7" fillId="0" borderId="3" xfId="51" applyNumberFormat="1" applyFont="1" applyBorder="1" applyAlignment="1">
      <alignment horizontal="center" vertical="center" wrapText="1"/>
    </xf>
    <xf numFmtId="177" fontId="7" fillId="0" borderId="3" xfId="49" applyNumberFormat="1" applyFont="1" applyBorder="1" applyAlignment="1">
      <alignment horizontal="center" vertical="center"/>
    </xf>
    <xf numFmtId="0" fontId="7" fillId="0" borderId="3" xfId="49" applyFont="1" applyBorder="1" applyAlignment="1">
      <alignment horizontal="center" vertical="center" wrapText="1"/>
    </xf>
    <xf numFmtId="0" fontId="7" fillId="0" borderId="3" xfId="52" applyFont="1" applyBorder="1" applyAlignment="1">
      <alignment horizontal="center" vertical="center"/>
    </xf>
    <xf numFmtId="0" fontId="7" fillId="0" borderId="3" xfId="0" applyFont="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wrapText="1"/>
    </xf>
    <xf numFmtId="0" fontId="2" fillId="0" borderId="1" xfId="0" applyFont="1" applyBorder="1">
      <alignment vertical="center"/>
    </xf>
    <xf numFmtId="0" fontId="6" fillId="4" borderId="2"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2" fillId="0" borderId="7" xfId="0" applyFont="1" applyBorder="1" applyAlignment="1">
      <alignment horizontal="center" vertical="center"/>
    </xf>
    <xf numFmtId="49" fontId="7" fillId="0" borderId="7" xfId="49" applyNumberFormat="1" applyFont="1" applyBorder="1" applyAlignment="1">
      <alignment horizontal="center" vertical="center" wrapText="1"/>
    </xf>
    <xf numFmtId="49" fontId="7" fillId="0" borderId="7" xfId="49" applyNumberFormat="1" applyFont="1" applyBorder="1" applyAlignment="1">
      <alignment horizontal="center" vertical="center"/>
    </xf>
    <xf numFmtId="49" fontId="7" fillId="0" borderId="7" xfId="51" applyNumberFormat="1" applyFont="1" applyBorder="1" applyAlignment="1">
      <alignment horizontal="center" vertical="center" wrapText="1"/>
    </xf>
    <xf numFmtId="177" fontId="7" fillId="0" borderId="7" xfId="49" applyNumberFormat="1" applyFont="1" applyBorder="1" applyAlignment="1">
      <alignment horizontal="center" vertical="center"/>
    </xf>
    <xf numFmtId="0" fontId="7" fillId="0" borderId="7" xfId="49" applyFont="1" applyBorder="1" applyAlignment="1">
      <alignment horizontal="center" vertical="center" wrapText="1"/>
    </xf>
    <xf numFmtId="0" fontId="7" fillId="0" borderId="7" xfId="52" applyFont="1" applyBorder="1" applyAlignment="1">
      <alignment horizontal="center" vertical="center"/>
    </xf>
    <xf numFmtId="0" fontId="7" fillId="0" borderId="7" xfId="0" applyFont="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wrapText="1"/>
    </xf>
    <xf numFmtId="0" fontId="7" fillId="5" borderId="1" xfId="0" applyFont="1" applyFill="1" applyBorder="1" applyAlignment="1">
      <alignment horizontal="center" vertical="center"/>
    </xf>
    <xf numFmtId="0" fontId="6" fillId="0" borderId="1" xfId="0" applyFont="1" applyBorder="1" applyAlignment="1">
      <alignment horizontal="center" vertical="center" wrapText="1"/>
    </xf>
    <xf numFmtId="0" fontId="8" fillId="0" borderId="1" xfId="52" applyFont="1" applyBorder="1" applyAlignment="1">
      <alignment horizontal="left" vertical="center" wrapText="1"/>
    </xf>
    <xf numFmtId="0" fontId="8" fillId="0" borderId="1" xfId="52" applyFont="1" applyBorder="1" applyAlignment="1">
      <alignment horizontal="center" vertical="center"/>
    </xf>
    <xf numFmtId="49" fontId="8" fillId="0" borderId="1" xfId="49" applyNumberFormat="1" applyFont="1" applyBorder="1" applyAlignment="1">
      <alignment horizontal="center" vertical="center"/>
    </xf>
    <xf numFmtId="178" fontId="8" fillId="0" borderId="1" xfId="49" applyNumberFormat="1" applyFont="1" applyBorder="1" applyAlignment="1">
      <alignment horizontal="center" vertical="center"/>
    </xf>
    <xf numFmtId="0" fontId="8" fillId="0" borderId="1" xfId="49" applyFont="1" applyBorder="1" applyAlignment="1">
      <alignment horizontal="center" vertical="center" wrapText="1"/>
    </xf>
    <xf numFmtId="179" fontId="8" fillId="0" borderId="1" xfId="52" applyNumberFormat="1" applyFont="1" applyBorder="1" applyAlignment="1">
      <alignment horizontal="center" vertical="center"/>
    </xf>
    <xf numFmtId="177" fontId="8" fillId="0" borderId="1" xfId="52" applyNumberFormat="1" applyFont="1" applyBorder="1" applyAlignment="1">
      <alignment horizontal="center" vertical="center"/>
    </xf>
    <xf numFmtId="179" fontId="8" fillId="3" borderId="1" xfId="52" applyNumberFormat="1" applyFont="1" applyFill="1" applyBorder="1" applyAlignment="1">
      <alignment horizontal="center" vertical="center"/>
    </xf>
    <xf numFmtId="179" fontId="8" fillId="3" borderId="2" xfId="52" applyNumberFormat="1" applyFont="1" applyFill="1" applyBorder="1" applyAlignment="1">
      <alignment horizontal="center" vertical="center"/>
    </xf>
    <xf numFmtId="178" fontId="9" fillId="0" borderId="1" xfId="52" applyNumberFormat="1" applyFont="1" applyBorder="1" applyAlignment="1">
      <alignment horizontal="center" vertical="center"/>
    </xf>
    <xf numFmtId="0" fontId="8" fillId="0" borderId="1" xfId="52" applyFont="1" applyBorder="1" applyAlignment="1">
      <alignment horizontal="center" vertical="center" wrapText="1"/>
    </xf>
    <xf numFmtId="49" fontId="8" fillId="0" borderId="1" xfId="49" applyNumberFormat="1" applyFont="1" applyBorder="1" applyAlignment="1">
      <alignment horizontal="center" vertical="center" wrapText="1"/>
    </xf>
    <xf numFmtId="0" fontId="8" fillId="0" borderId="1" xfId="49" applyFont="1" applyBorder="1" applyAlignment="1">
      <alignment horizontal="left" vertical="center" wrapText="1"/>
    </xf>
    <xf numFmtId="178" fontId="4" fillId="0" borderId="1" xfId="0" applyNumberFormat="1" applyFont="1" applyBorder="1" applyAlignment="1">
      <alignment horizontal="center" vertical="center"/>
    </xf>
    <xf numFmtId="180" fontId="4" fillId="0" borderId="1" xfId="3" applyNumberFormat="1" applyFont="1" applyFill="1" applyBorder="1" applyAlignment="1">
      <alignment horizontal="center" vertical="center"/>
    </xf>
    <xf numFmtId="0" fontId="8" fillId="0" borderId="1" xfId="0" applyFont="1" applyBorder="1" applyAlignment="1">
      <alignment horizontal="center" vertical="center"/>
    </xf>
    <xf numFmtId="49" fontId="10" fillId="0" borderId="1" xfId="49" applyNumberFormat="1" applyFont="1" applyBorder="1" applyAlignment="1">
      <alignment horizontal="center" vertical="center" wrapText="1"/>
    </xf>
    <xf numFmtId="49" fontId="8" fillId="0" borderId="1" xfId="0" applyNumberFormat="1" applyFont="1" applyBorder="1" applyAlignment="1">
      <alignment horizontal="center" vertical="center"/>
    </xf>
    <xf numFmtId="0" fontId="4" fillId="2" borderId="1" xfId="0" applyFont="1" applyFill="1" applyBorder="1" applyAlignment="1">
      <alignment horizontal="center" vertical="center"/>
    </xf>
    <xf numFmtId="0" fontId="8" fillId="2" borderId="1" xfId="52" applyFont="1" applyFill="1" applyBorder="1" applyAlignment="1">
      <alignment horizontal="left" vertical="center" wrapText="1"/>
    </xf>
    <xf numFmtId="0" fontId="8" fillId="2" borderId="1" xfId="52" applyFont="1" applyFill="1" applyBorder="1" applyAlignment="1">
      <alignment horizontal="center" vertical="center"/>
    </xf>
    <xf numFmtId="49" fontId="8" fillId="2" borderId="1" xfId="49" applyNumberFormat="1" applyFont="1" applyFill="1" applyBorder="1" applyAlignment="1">
      <alignment horizontal="center" vertical="center"/>
    </xf>
    <xf numFmtId="178" fontId="8" fillId="2" borderId="1" xfId="49" applyNumberFormat="1" applyFont="1" applyFill="1" applyBorder="1" applyAlignment="1">
      <alignment horizontal="center" vertical="center"/>
    </xf>
    <xf numFmtId="0" fontId="8" fillId="2" borderId="1" xfId="49" applyFont="1" applyFill="1" applyBorder="1" applyAlignment="1">
      <alignment horizontal="center" vertical="center" wrapText="1"/>
    </xf>
    <xf numFmtId="179" fontId="8" fillId="2" borderId="1" xfId="52" applyNumberFormat="1" applyFont="1" applyFill="1" applyBorder="1" applyAlignment="1">
      <alignment horizontal="center" vertical="center"/>
    </xf>
    <xf numFmtId="177" fontId="8" fillId="2" borderId="1" xfId="52" applyNumberFormat="1" applyFont="1" applyFill="1" applyBorder="1" applyAlignment="1">
      <alignment horizontal="center" vertical="center"/>
    </xf>
    <xf numFmtId="179" fontId="8" fillId="2" borderId="2" xfId="52" applyNumberFormat="1" applyFont="1" applyFill="1" applyBorder="1" applyAlignment="1">
      <alignment horizontal="center" vertical="center"/>
    </xf>
    <xf numFmtId="178" fontId="9" fillId="2" borderId="1" xfId="52" applyNumberFormat="1" applyFont="1" applyFill="1" applyBorder="1" applyAlignment="1">
      <alignment horizontal="center" vertical="center"/>
    </xf>
    <xf numFmtId="0" fontId="4" fillId="2" borderId="1" xfId="0" applyFont="1" applyFill="1" applyBorder="1" applyAlignment="1">
      <alignment horizontal="center" vertical="center" wrapText="1"/>
    </xf>
    <xf numFmtId="178" fontId="4" fillId="2" borderId="1" xfId="0" applyNumberFormat="1" applyFont="1" applyFill="1" applyBorder="1" applyAlignment="1">
      <alignment horizontal="center" vertical="center"/>
    </xf>
    <xf numFmtId="180" fontId="4" fillId="2" borderId="1" xfId="3" applyNumberFormat="1" applyFont="1" applyFill="1" applyBorder="1" applyAlignment="1">
      <alignment horizontal="center" vertical="center"/>
    </xf>
    <xf numFmtId="49" fontId="8" fillId="2" borderId="1" xfId="49" applyNumberFormat="1" applyFont="1" applyFill="1" applyBorder="1" applyAlignment="1">
      <alignment horizontal="center" vertical="center" wrapText="1"/>
    </xf>
    <xf numFmtId="0" fontId="8" fillId="0" borderId="1" xfId="49" applyFont="1" applyBorder="1" applyAlignment="1">
      <alignment horizontal="center" vertical="center"/>
    </xf>
    <xf numFmtId="0" fontId="8" fillId="0" borderId="1" xfId="0" applyFont="1" applyBorder="1" applyAlignment="1">
      <alignment horizontal="center" vertical="center" wrapText="1"/>
    </xf>
    <xf numFmtId="177" fontId="8" fillId="0" borderId="1" xfId="53" applyNumberFormat="1" applyFont="1" applyFill="1" applyBorder="1" applyAlignment="1">
      <alignment horizontal="center" vertical="center"/>
    </xf>
    <xf numFmtId="49" fontId="8" fillId="3" borderId="1" xfId="49" applyNumberFormat="1" applyFont="1" applyFill="1" applyBorder="1" applyAlignment="1">
      <alignment horizontal="center" vertical="center" wrapText="1"/>
    </xf>
    <xf numFmtId="177" fontId="8" fillId="3" borderId="2" xfId="53" applyNumberFormat="1" applyFont="1" applyFill="1" applyBorder="1" applyAlignment="1">
      <alignment horizontal="center" vertical="center"/>
    </xf>
    <xf numFmtId="178" fontId="8" fillId="0" borderId="1" xfId="1" applyNumberFormat="1" applyFont="1" applyFill="1" applyBorder="1" applyAlignment="1">
      <alignment horizontal="center" vertical="center"/>
    </xf>
    <xf numFmtId="177" fontId="8" fillId="0" borderId="1" xfId="0" applyNumberFormat="1" applyFont="1" applyBorder="1" applyAlignment="1" applyProtection="1">
      <alignment horizontal="center" vertical="center"/>
      <protection hidden="1"/>
    </xf>
    <xf numFmtId="177" fontId="8" fillId="0" borderId="1" xfId="1" applyNumberFormat="1" applyFont="1" applyFill="1" applyBorder="1" applyAlignment="1">
      <alignment horizontal="center" vertical="center"/>
    </xf>
    <xf numFmtId="177" fontId="8" fillId="3" borderId="2" xfId="53" applyNumberFormat="1" applyFont="1" applyFill="1" applyBorder="1" applyAlignment="1">
      <alignment horizontal="center" vertical="center" wrapText="1"/>
    </xf>
    <xf numFmtId="178" fontId="8" fillId="0" borderId="1" xfId="53" applyNumberFormat="1" applyFont="1" applyFill="1" applyBorder="1" applyAlignment="1">
      <alignment horizontal="center" vertical="center"/>
    </xf>
    <xf numFmtId="49" fontId="8" fillId="0" borderId="1" xfId="49" applyNumberFormat="1" applyFont="1" applyBorder="1" applyAlignment="1">
      <alignment horizontal="left" vertical="center" wrapText="1"/>
    </xf>
    <xf numFmtId="177" fontId="8" fillId="3" borderId="1" xfId="53" applyNumberFormat="1" applyFont="1" applyFill="1" applyBorder="1" applyAlignment="1">
      <alignment horizontal="center" vertical="center"/>
    </xf>
    <xf numFmtId="177" fontId="8" fillId="0" borderId="1" xfId="0" applyNumberFormat="1" applyFont="1" applyBorder="1" applyAlignment="1">
      <alignment horizontal="center" vertical="center"/>
    </xf>
    <xf numFmtId="178" fontId="8" fillId="0" borderId="1" xfId="0" applyNumberFormat="1" applyFont="1" applyBorder="1" applyAlignment="1">
      <alignment horizontal="center" vertical="center"/>
    </xf>
    <xf numFmtId="177" fontId="8" fillId="0" borderId="1" xfId="49" applyNumberFormat="1" applyFont="1" applyBorder="1" applyAlignment="1">
      <alignment horizontal="center" vertical="center"/>
    </xf>
    <xf numFmtId="178" fontId="9" fillId="0" borderId="1" xfId="0" applyNumberFormat="1" applyFont="1" applyBorder="1" applyAlignment="1">
      <alignment horizontal="center" vertical="center" wrapText="1"/>
    </xf>
    <xf numFmtId="178" fontId="8" fillId="0" borderId="1" xfId="49" applyNumberFormat="1" applyFont="1" applyBorder="1" applyAlignment="1">
      <alignment horizontal="center" vertical="center" wrapText="1"/>
    </xf>
    <xf numFmtId="0" fontId="1" fillId="0" borderId="0" xfId="0" applyFont="1">
      <alignment vertical="center"/>
    </xf>
    <xf numFmtId="0" fontId="0" fillId="3" borderId="0" xfId="0" applyFill="1">
      <alignment vertical="center"/>
    </xf>
    <xf numFmtId="0" fontId="0" fillId="4" borderId="0" xfId="0" applyFill="1">
      <alignment vertical="center"/>
    </xf>
    <xf numFmtId="0" fontId="0" fillId="2" borderId="0" xfId="0" applyFill="1">
      <alignment vertical="center"/>
    </xf>
    <xf numFmtId="0" fontId="0" fillId="0" borderId="0" xfId="0" applyAlignment="1">
      <alignment horizontal="left" vertical="center" wrapText="1"/>
    </xf>
    <xf numFmtId="0" fontId="0" fillId="0" borderId="0" xfId="0" applyAlignment="1">
      <alignment vertical="center" wrapText="1"/>
    </xf>
    <xf numFmtId="0" fontId="0" fillId="3" borderId="0" xfId="0" applyFill="1" applyAlignment="1">
      <alignment horizontal="center" vertical="center"/>
    </xf>
    <xf numFmtId="49" fontId="7" fillId="5" borderId="1" xfId="51" applyNumberFormat="1" applyFont="1" applyFill="1" applyBorder="1" applyAlignment="1">
      <alignment horizontal="center" vertical="center"/>
    </xf>
    <xf numFmtId="49" fontId="7" fillId="5" borderId="1" xfId="51" applyNumberFormat="1" applyFont="1" applyFill="1" applyBorder="1" applyAlignment="1">
      <alignment horizontal="center" vertical="center" wrapText="1"/>
    </xf>
    <xf numFmtId="177" fontId="7" fillId="5" borderId="1" xfId="49" applyNumberFormat="1" applyFont="1" applyFill="1" applyBorder="1" applyAlignment="1">
      <alignment horizontal="center" vertical="center"/>
    </xf>
    <xf numFmtId="49" fontId="7" fillId="5" borderId="1" xfId="49" applyNumberFormat="1" applyFont="1" applyFill="1" applyBorder="1" applyAlignment="1">
      <alignment horizontal="center" vertical="center"/>
    </xf>
    <xf numFmtId="0" fontId="7" fillId="5" borderId="1" xfId="49"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7" fillId="5" borderId="7" xfId="0"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1" xfId="49" applyNumberFormat="1" applyFont="1" applyBorder="1" applyAlignment="1">
      <alignment horizontal="left" vertical="center" wrapText="1"/>
    </xf>
    <xf numFmtId="178" fontId="4" fillId="0" borderId="1" xfId="1" applyNumberFormat="1" applyFont="1" applyFill="1" applyBorder="1" applyAlignment="1">
      <alignment horizontal="center" vertical="center"/>
    </xf>
    <xf numFmtId="178" fontId="4" fillId="0" borderId="1" xfId="1" applyNumberFormat="1" applyFont="1" applyFill="1" applyBorder="1" applyAlignment="1">
      <alignment horizontal="center" vertical="center" wrapText="1"/>
    </xf>
    <xf numFmtId="178" fontId="4" fillId="3" borderId="1" xfId="1" applyNumberFormat="1" applyFont="1" applyFill="1" applyBorder="1" applyAlignment="1">
      <alignment horizontal="center" vertical="center"/>
    </xf>
    <xf numFmtId="49" fontId="4" fillId="3" borderId="1" xfId="49" applyNumberFormat="1" applyFont="1" applyFill="1" applyBorder="1" applyAlignment="1">
      <alignment horizontal="center" vertical="center"/>
    </xf>
    <xf numFmtId="49" fontId="4" fillId="3" borderId="1" xfId="49" applyNumberFormat="1" applyFont="1" applyFill="1" applyBorder="1" applyAlignment="1">
      <alignment horizontal="left" vertical="center" wrapText="1"/>
    </xf>
    <xf numFmtId="178" fontId="4" fillId="3" borderId="1" xfId="49" applyNumberFormat="1" applyFont="1" applyFill="1" applyBorder="1" applyAlignment="1">
      <alignment horizontal="center" vertical="center"/>
    </xf>
    <xf numFmtId="0" fontId="4" fillId="3" borderId="1" xfId="49" applyFont="1" applyFill="1" applyBorder="1" applyAlignment="1">
      <alignment horizontal="left" vertical="center" wrapText="1"/>
    </xf>
    <xf numFmtId="178" fontId="4" fillId="3" borderId="3" xfId="49" applyNumberFormat="1" applyFont="1" applyFill="1" applyBorder="1" applyAlignment="1">
      <alignment horizontal="center" vertical="center"/>
    </xf>
    <xf numFmtId="178" fontId="4" fillId="3" borderId="3" xfId="49" applyNumberFormat="1" applyFont="1" applyFill="1" applyBorder="1" applyAlignment="1">
      <alignment vertical="center"/>
    </xf>
    <xf numFmtId="49" fontId="4" fillId="4" borderId="1" xfId="49" applyNumberFormat="1" applyFont="1" applyFill="1" applyBorder="1" applyAlignment="1">
      <alignment horizontal="center" vertical="center"/>
    </xf>
    <xf numFmtId="49" fontId="4" fillId="4" borderId="1" xfId="49" applyNumberFormat="1" applyFont="1" applyFill="1" applyBorder="1" applyAlignment="1">
      <alignment horizontal="left" vertical="center" wrapText="1"/>
    </xf>
    <xf numFmtId="178" fontId="4" fillId="4" borderId="1" xfId="49" applyNumberFormat="1" applyFont="1" applyFill="1" applyBorder="1" applyAlignment="1">
      <alignment horizontal="center" vertical="center"/>
    </xf>
    <xf numFmtId="0" fontId="4" fillId="4" borderId="1" xfId="49" applyFont="1" applyFill="1" applyBorder="1" applyAlignment="1">
      <alignment horizontal="left" vertical="center" wrapText="1"/>
    </xf>
    <xf numFmtId="178" fontId="4" fillId="4" borderId="1" xfId="1" applyNumberFormat="1" applyFont="1" applyFill="1" applyBorder="1" applyAlignment="1">
      <alignment horizontal="center" vertical="center"/>
    </xf>
    <xf numFmtId="0" fontId="4" fillId="4" borderId="1" xfId="0" applyFont="1" applyFill="1" applyBorder="1" applyAlignment="1">
      <alignment horizontal="center" vertical="center"/>
    </xf>
    <xf numFmtId="177" fontId="4" fillId="0" borderId="1" xfId="49" applyNumberFormat="1" applyFont="1" applyBorder="1" applyAlignment="1">
      <alignment horizontal="center" vertical="center"/>
    </xf>
    <xf numFmtId="177" fontId="4" fillId="3" borderId="1" xfId="49" applyNumberFormat="1" applyFont="1" applyFill="1" applyBorder="1" applyAlignment="1">
      <alignment horizontal="center" vertical="center"/>
    </xf>
    <xf numFmtId="49" fontId="4" fillId="2" borderId="1" xfId="49" applyNumberFormat="1" applyFont="1" applyFill="1" applyBorder="1" applyAlignment="1">
      <alignment horizontal="center" vertical="center"/>
    </xf>
    <xf numFmtId="49" fontId="4" fillId="2" borderId="1" xfId="49" applyNumberFormat="1" applyFont="1" applyFill="1" applyBorder="1" applyAlignment="1">
      <alignment horizontal="left" vertical="center" wrapText="1"/>
    </xf>
    <xf numFmtId="178" fontId="4" fillId="2" borderId="1" xfId="49" applyNumberFormat="1" applyFont="1" applyFill="1" applyBorder="1" applyAlignment="1">
      <alignment horizontal="center" vertical="center"/>
    </xf>
    <xf numFmtId="0" fontId="4" fillId="2" borderId="1" xfId="49" applyFont="1" applyFill="1" applyBorder="1" applyAlignment="1">
      <alignment horizontal="left" vertical="center" wrapText="1"/>
    </xf>
    <xf numFmtId="178" fontId="4" fillId="2" borderId="1" xfId="1" applyNumberFormat="1" applyFont="1" applyFill="1" applyBorder="1" applyAlignment="1">
      <alignment horizontal="center" vertical="center"/>
    </xf>
    <xf numFmtId="177" fontId="4" fillId="3" borderId="1" xfId="0" applyNumberFormat="1" applyFont="1" applyFill="1" applyBorder="1" applyAlignment="1">
      <alignment horizontal="left" vertical="center" wrapText="1"/>
    </xf>
    <xf numFmtId="177" fontId="4" fillId="3" borderId="1" xfId="0" applyNumberFormat="1" applyFont="1" applyFill="1" applyBorder="1" applyAlignment="1">
      <alignment horizontal="center" vertical="center"/>
    </xf>
    <xf numFmtId="177" fontId="4" fillId="3" borderId="1" xfId="3" applyNumberFormat="1" applyFont="1" applyFill="1" applyBorder="1" applyAlignment="1">
      <alignment horizontal="center" vertical="center"/>
    </xf>
    <xf numFmtId="49" fontId="4" fillId="0" borderId="1" xfId="0" applyNumberFormat="1" applyFont="1" applyBorder="1" applyAlignment="1">
      <alignment horizontal="center" vertical="center"/>
    </xf>
    <xf numFmtId="178" fontId="4" fillId="0" borderId="1" xfId="3" applyNumberFormat="1" applyFont="1" applyFill="1" applyBorder="1" applyAlignment="1">
      <alignment horizontal="center" vertical="center"/>
    </xf>
    <xf numFmtId="178" fontId="4" fillId="0" borderId="1" xfId="49" applyNumberFormat="1" applyFont="1" applyBorder="1" applyAlignment="1">
      <alignment horizontal="center" vertical="center" wrapText="1"/>
    </xf>
    <xf numFmtId="0" fontId="4" fillId="0" borderId="1" xfId="3" applyNumberFormat="1" applyFont="1" applyFill="1" applyBorder="1" applyAlignment="1" applyProtection="1">
      <alignment horizontal="center" vertical="center"/>
    </xf>
    <xf numFmtId="177" fontId="4" fillId="0" borderId="1" xfId="3" applyNumberFormat="1" applyFont="1" applyFill="1" applyBorder="1" applyAlignment="1">
      <alignment horizontal="center" vertical="center"/>
    </xf>
    <xf numFmtId="0" fontId="4" fillId="3" borderId="1" xfId="0" applyFont="1" applyFill="1" applyBorder="1" applyAlignment="1">
      <alignment horizontal="left" vertical="center" wrapText="1"/>
    </xf>
    <xf numFmtId="177"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179" fontId="4" fillId="2" borderId="1" xfId="0" applyNumberFormat="1" applyFont="1" applyFill="1" applyBorder="1" applyAlignment="1">
      <alignment horizontal="center" vertical="center"/>
    </xf>
    <xf numFmtId="0" fontId="4" fillId="2" borderId="1" xfId="49" applyFont="1" applyFill="1" applyBorder="1" applyAlignment="1">
      <alignment horizontal="center" vertical="center"/>
    </xf>
    <xf numFmtId="179" fontId="4" fillId="0" borderId="1" xfId="0" applyNumberFormat="1" applyFont="1" applyBorder="1" applyAlignment="1">
      <alignment horizontal="center" vertical="center"/>
    </xf>
    <xf numFmtId="179" fontId="4"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11" fillId="0" borderId="1" xfId="0" applyFont="1" applyBorder="1" applyAlignment="1">
      <alignment horizontal="center" vertical="center"/>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2" borderId="0" xfId="0" applyFont="1" applyFill="1">
      <alignment vertical="center"/>
    </xf>
    <xf numFmtId="178" fontId="4" fillId="2" borderId="9" xfId="1" applyNumberFormat="1" applyFont="1" applyFill="1" applyBorder="1" applyAlignment="1">
      <alignment horizontal="center" vertical="center"/>
    </xf>
    <xf numFmtId="0" fontId="4" fillId="2" borderId="9" xfId="0" applyFont="1" applyFill="1" applyBorder="1" applyAlignment="1">
      <alignment horizontal="center" vertical="center"/>
    </xf>
    <xf numFmtId="177" fontId="4" fillId="0" borderId="1" xfId="0" applyNumberFormat="1" applyFont="1" applyBorder="1" applyAlignment="1">
      <alignment horizontal="left" vertical="center" wrapText="1"/>
    </xf>
    <xf numFmtId="0" fontId="13" fillId="0" borderId="0" xfId="0" applyFont="1">
      <alignment vertical="center"/>
    </xf>
    <xf numFmtId="0" fontId="13" fillId="3" borderId="0" xfId="0" applyFont="1" applyFill="1">
      <alignment vertical="center"/>
    </xf>
    <xf numFmtId="0" fontId="13" fillId="0" borderId="0" xfId="0" applyFont="1" applyAlignment="1">
      <alignment horizontal="center" vertical="center"/>
    </xf>
    <xf numFmtId="178" fontId="0" fillId="0" borderId="0" xfId="0" applyNumberFormat="1">
      <alignment vertical="center"/>
    </xf>
    <xf numFmtId="178" fontId="14" fillId="0" borderId="0" xfId="0" applyNumberFormat="1" applyFont="1">
      <alignment vertical="center"/>
    </xf>
    <xf numFmtId="49" fontId="15" fillId="5" borderId="1" xfId="51" applyNumberFormat="1" applyFont="1" applyFill="1" applyBorder="1" applyAlignment="1">
      <alignment horizontal="center" vertical="center" wrapText="1"/>
    </xf>
    <xf numFmtId="177" fontId="15" fillId="5" borderId="1" xfId="49" applyNumberFormat="1" applyFont="1" applyFill="1" applyBorder="1" applyAlignment="1">
      <alignment horizontal="center" vertical="center" wrapText="1"/>
    </xf>
    <xf numFmtId="0" fontId="15" fillId="5" borderId="1" xfId="49" applyFont="1" applyFill="1" applyBorder="1" applyAlignment="1">
      <alignment horizontal="center" vertical="center" wrapText="1"/>
    </xf>
    <xf numFmtId="178" fontId="16" fillId="0" borderId="1" xfId="0" applyNumberFormat="1" applyFont="1" applyBorder="1" applyAlignment="1">
      <alignment horizontal="center" vertical="center"/>
    </xf>
    <xf numFmtId="178" fontId="17" fillId="0" borderId="1" xfId="0" applyNumberFormat="1" applyFont="1" applyBorder="1" applyAlignment="1">
      <alignment horizontal="center" vertical="center"/>
    </xf>
    <xf numFmtId="178" fontId="0" fillId="0" borderId="1" xfId="0" applyNumberForma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xf>
    <xf numFmtId="49" fontId="15" fillId="5" borderId="3" xfId="51" applyNumberFormat="1" applyFont="1" applyFill="1" applyBorder="1" applyAlignment="1">
      <alignment horizontal="center" vertical="center" wrapText="1"/>
    </xf>
    <xf numFmtId="177" fontId="15" fillId="5" borderId="3" xfId="49" applyNumberFormat="1" applyFont="1" applyFill="1" applyBorder="1" applyAlignment="1">
      <alignment horizontal="center" vertical="center" wrapText="1"/>
    </xf>
    <xf numFmtId="0" fontId="15" fillId="5" borderId="3" xfId="49" applyFont="1" applyFill="1" applyBorder="1" applyAlignment="1">
      <alignment horizontal="center" vertical="center" wrapText="1"/>
    </xf>
    <xf numFmtId="178" fontId="18" fillId="0" borderId="1" xfId="0" applyNumberFormat="1" applyFont="1" applyBorder="1" applyAlignment="1">
      <alignment vertical="center" wrapText="1"/>
    </xf>
    <xf numFmtId="178" fontId="19" fillId="0" borderId="1" xfId="0" applyNumberFormat="1" applyFont="1" applyBorder="1" applyAlignment="1">
      <alignment vertical="center" wrapText="1"/>
    </xf>
    <xf numFmtId="178" fontId="0" fillId="0" borderId="0" xfId="0" applyNumberFormat="1" applyAlignment="1">
      <alignment vertical="center" wrapText="1"/>
    </xf>
    <xf numFmtId="49" fontId="20" fillId="0" borderId="1" xfId="49" applyNumberFormat="1" applyFont="1" applyBorder="1" applyAlignment="1">
      <alignment horizontal="center" vertical="center"/>
    </xf>
    <xf numFmtId="49" fontId="20" fillId="0" borderId="1" xfId="49" applyNumberFormat="1" applyFont="1" applyBorder="1" applyAlignment="1">
      <alignment horizontal="left" vertical="center" wrapText="1"/>
    </xf>
    <xf numFmtId="49" fontId="20" fillId="0" borderId="1" xfId="49" applyNumberFormat="1" applyFont="1" applyBorder="1" applyAlignment="1">
      <alignment horizontal="center" vertical="center" wrapText="1"/>
    </xf>
    <xf numFmtId="178" fontId="20" fillId="0" borderId="1" xfId="49" applyNumberFormat="1" applyFont="1" applyBorder="1" applyAlignment="1">
      <alignment horizontal="center" vertical="center" wrapText="1"/>
    </xf>
    <xf numFmtId="0" fontId="20" fillId="0" borderId="1" xfId="49" applyFont="1" applyBorder="1" applyAlignment="1">
      <alignment horizontal="left" vertical="center" wrapText="1"/>
    </xf>
    <xf numFmtId="178" fontId="20" fillId="0" borderId="1" xfId="0" applyNumberFormat="1" applyFont="1" applyBorder="1">
      <alignment vertical="center"/>
    </xf>
    <xf numFmtId="10" fontId="20" fillId="0" borderId="1" xfId="0" applyNumberFormat="1" applyFont="1" applyBorder="1">
      <alignment vertical="center"/>
    </xf>
    <xf numFmtId="178" fontId="21" fillId="0" borderId="1" xfId="0" applyNumberFormat="1" applyFont="1" applyBorder="1">
      <alignment vertical="center"/>
    </xf>
    <xf numFmtId="178" fontId="13" fillId="0" borderId="0" xfId="0" applyNumberFormat="1" applyFont="1">
      <alignment vertical="center"/>
    </xf>
    <xf numFmtId="178" fontId="13" fillId="0" borderId="1" xfId="0" applyNumberFormat="1" applyFont="1" applyBorder="1">
      <alignment vertical="center"/>
    </xf>
    <xf numFmtId="10" fontId="13" fillId="0" borderId="0" xfId="0" applyNumberFormat="1" applyFont="1">
      <alignment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178" fontId="20" fillId="0" borderId="1" xfId="49" applyNumberFormat="1" applyFont="1" applyBorder="1" applyAlignment="1">
      <alignment horizontal="center" vertical="center"/>
    </xf>
    <xf numFmtId="0" fontId="20" fillId="0" borderId="1" xfId="0" applyFont="1" applyBorder="1">
      <alignment vertical="center"/>
    </xf>
    <xf numFmtId="49" fontId="20" fillId="3" borderId="1" xfId="49" applyNumberFormat="1" applyFont="1" applyFill="1" applyBorder="1" applyAlignment="1">
      <alignment horizontal="center" vertical="center"/>
    </xf>
    <xf numFmtId="49" fontId="20" fillId="3" borderId="1" xfId="49" applyNumberFormat="1" applyFont="1" applyFill="1" applyBorder="1" applyAlignment="1">
      <alignment horizontal="left" vertical="center" wrapText="1"/>
    </xf>
    <xf numFmtId="49" fontId="20" fillId="3" borderId="1" xfId="49" applyNumberFormat="1" applyFont="1" applyFill="1" applyBorder="1" applyAlignment="1">
      <alignment horizontal="center" vertical="center" wrapText="1"/>
    </xf>
    <xf numFmtId="178" fontId="20" fillId="3" borderId="1" xfId="49" applyNumberFormat="1" applyFont="1" applyFill="1" applyBorder="1" applyAlignment="1">
      <alignment horizontal="center" vertical="center" wrapText="1"/>
    </xf>
    <xf numFmtId="0" fontId="20" fillId="3" borderId="1" xfId="49" applyFont="1" applyFill="1" applyBorder="1" applyAlignment="1">
      <alignment horizontal="left" vertical="center" wrapText="1"/>
    </xf>
    <xf numFmtId="178" fontId="21" fillId="3" borderId="1" xfId="0" applyNumberFormat="1" applyFont="1" applyFill="1" applyBorder="1">
      <alignment vertical="center"/>
    </xf>
    <xf numFmtId="10" fontId="20" fillId="3" borderId="1" xfId="0" applyNumberFormat="1" applyFont="1" applyFill="1" applyBorder="1">
      <alignment vertical="center"/>
    </xf>
    <xf numFmtId="178" fontId="13" fillId="3" borderId="0" xfId="0" applyNumberFormat="1" applyFont="1" applyFill="1">
      <alignment vertical="center"/>
    </xf>
    <xf numFmtId="10" fontId="13" fillId="3" borderId="0" xfId="0" applyNumberFormat="1" applyFont="1" applyFill="1">
      <alignment vertical="center"/>
    </xf>
    <xf numFmtId="178" fontId="20" fillId="3" borderId="1" xfId="0" applyNumberFormat="1" applyFont="1" applyFill="1" applyBorder="1">
      <alignment vertical="center"/>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177" fontId="20" fillId="0" borderId="1" xfId="0" applyNumberFormat="1" applyFont="1" applyBorder="1" applyAlignment="1">
      <alignment horizontal="center" vertical="center" wrapText="1"/>
    </xf>
    <xf numFmtId="0" fontId="20" fillId="0" borderId="1" xfId="49" applyFont="1" applyBorder="1" applyAlignment="1">
      <alignment horizontal="center" vertical="center" wrapText="1"/>
    </xf>
    <xf numFmtId="177" fontId="20" fillId="0" borderId="1" xfId="0" applyNumberFormat="1" applyFont="1" applyBorder="1" applyAlignment="1">
      <alignment horizontal="left" vertical="center" wrapText="1"/>
    </xf>
    <xf numFmtId="178" fontId="20" fillId="0" borderId="1" xfId="0" applyNumberFormat="1" applyFont="1" applyBorder="1" applyAlignment="1">
      <alignment horizontal="center" vertical="center" wrapText="1"/>
    </xf>
    <xf numFmtId="178" fontId="21" fillId="0" borderId="1" xfId="0" applyNumberFormat="1" applyFont="1" applyBorder="1" applyAlignment="1">
      <alignment horizontal="center" vertical="center" wrapText="1"/>
    </xf>
    <xf numFmtId="0" fontId="20" fillId="0" borderId="1" xfId="0" applyFont="1" applyBorder="1" applyAlignment="1" applyProtection="1">
      <alignment horizontal="center" vertical="center" wrapText="1"/>
      <protection locked="0"/>
    </xf>
    <xf numFmtId="181" fontId="20" fillId="0" borderId="1" xfId="0" applyNumberFormat="1" applyFont="1" applyBorder="1" applyAlignment="1">
      <alignment horizontal="left" vertical="center" wrapText="1"/>
    </xf>
    <xf numFmtId="0" fontId="20" fillId="0" borderId="1" xfId="0" applyFont="1" applyBorder="1" applyAlignment="1">
      <alignment vertical="center" wrapText="1"/>
    </xf>
    <xf numFmtId="178" fontId="20" fillId="0" borderId="1" xfId="0" applyNumberFormat="1" applyFont="1" applyBorder="1" applyAlignment="1" applyProtection="1">
      <alignment horizontal="center" vertical="center" wrapText="1"/>
      <protection locked="0"/>
    </xf>
    <xf numFmtId="178" fontId="21" fillId="0" borderId="1" xfId="0" applyNumberFormat="1" applyFont="1" applyBorder="1" applyAlignment="1" applyProtection="1">
      <alignment horizontal="center" vertical="center" wrapText="1"/>
      <protection locked="0"/>
    </xf>
    <xf numFmtId="0" fontId="20" fillId="0" borderId="1" xfId="52" applyFont="1" applyBorder="1" applyAlignment="1" applyProtection="1">
      <alignment horizontal="left" vertical="center" wrapText="1"/>
      <protection locked="0"/>
    </xf>
    <xf numFmtId="178" fontId="20" fillId="0" borderId="1" xfId="52" applyNumberFormat="1" applyFont="1" applyBorder="1" applyAlignment="1">
      <alignment horizontal="center" vertical="center" wrapText="1"/>
    </xf>
    <xf numFmtId="178" fontId="21" fillId="0" borderId="1" xfId="52" applyNumberFormat="1" applyFont="1" applyBorder="1" applyAlignment="1">
      <alignment horizontal="center" vertical="center" wrapText="1"/>
    </xf>
    <xf numFmtId="178" fontId="20" fillId="0" borderId="1" xfId="1" applyNumberFormat="1" applyFont="1" applyFill="1" applyBorder="1" applyAlignment="1">
      <alignment horizontal="center" vertical="center"/>
    </xf>
    <xf numFmtId="0" fontId="22" fillId="0" borderId="0" xfId="0" applyFont="1">
      <alignment vertical="center"/>
    </xf>
    <xf numFmtId="0" fontId="23" fillId="0" borderId="0" xfId="0" applyFont="1">
      <alignment vertical="center"/>
    </xf>
    <xf numFmtId="0" fontId="3" fillId="0" borderId="0" xfId="0" applyFont="1">
      <alignment vertical="center"/>
    </xf>
    <xf numFmtId="0" fontId="24" fillId="0" borderId="0" xfId="0" applyFo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25" fillId="0" borderId="0" xfId="0" applyFont="1" applyAlignment="1">
      <alignment horizontal="left" vertical="center"/>
    </xf>
    <xf numFmtId="0" fontId="3" fillId="0" borderId="0" xfId="0" applyFont="1" applyAlignment="1">
      <alignment horizontal="center" vertical="center" wrapText="1"/>
    </xf>
    <xf numFmtId="0" fontId="22" fillId="0" borderId="1" xfId="0" applyFont="1" applyBorder="1" applyAlignment="1">
      <alignment horizontal="center" vertical="center"/>
    </xf>
    <xf numFmtId="0" fontId="22" fillId="0" borderId="0" xfId="0" applyFont="1" applyAlignment="1">
      <alignment horizontal="center" vertical="center" wrapText="1"/>
    </xf>
    <xf numFmtId="49" fontId="15" fillId="0" borderId="1" xfId="49" applyNumberFormat="1" applyFont="1" applyBorder="1" applyAlignment="1">
      <alignment horizontal="center" vertical="center"/>
    </xf>
    <xf numFmtId="49" fontId="15" fillId="0" borderId="1" xfId="51" applyNumberFormat="1" applyFont="1" applyBorder="1" applyAlignment="1">
      <alignment horizontal="center" vertical="center"/>
    </xf>
    <xf numFmtId="177" fontId="15" fillId="0" borderId="1" xfId="49" applyNumberFormat="1" applyFont="1" applyBorder="1" applyAlignment="1">
      <alignment horizontal="center" vertical="center" wrapText="1"/>
    </xf>
    <xf numFmtId="177" fontId="15" fillId="0" borderId="1" xfId="49" applyNumberFormat="1" applyFont="1" applyBorder="1" applyAlignment="1">
      <alignment horizontal="center" vertical="center"/>
    </xf>
    <xf numFmtId="0" fontId="15" fillId="0" borderId="1" xfId="52" applyFont="1" applyBorder="1" applyAlignment="1">
      <alignment horizontal="center" vertical="center"/>
    </xf>
    <xf numFmtId="0" fontId="15" fillId="6" borderId="3" xfId="52" applyFont="1" applyFill="1" applyBorder="1" applyAlignment="1">
      <alignment horizontal="center" vertical="center"/>
    </xf>
    <xf numFmtId="0" fontId="15" fillId="0" borderId="1" xfId="52" applyFont="1" applyBorder="1" applyAlignment="1">
      <alignment horizontal="center" vertical="center" wrapText="1"/>
    </xf>
    <xf numFmtId="0" fontId="15" fillId="6" borderId="7" xfId="52" applyFont="1" applyFill="1" applyBorder="1" applyAlignment="1">
      <alignment horizontal="center" vertical="center"/>
    </xf>
    <xf numFmtId="0" fontId="26" fillId="0" borderId="0" xfId="0" applyFont="1" applyAlignment="1">
      <alignment horizontal="center" vertical="center" wrapText="1"/>
    </xf>
    <xf numFmtId="0" fontId="23" fillId="0" borderId="1" xfId="52" applyFont="1" applyBorder="1" applyAlignment="1">
      <alignment horizontal="center" vertical="center"/>
    </xf>
    <xf numFmtId="49" fontId="23" fillId="0" borderId="1" xfId="49" applyNumberFormat="1" applyFont="1" applyBorder="1" applyAlignment="1">
      <alignment horizontal="center" vertical="center"/>
    </xf>
    <xf numFmtId="49" fontId="23" fillId="0" borderId="1" xfId="49" applyNumberFormat="1" applyFont="1" applyBorder="1" applyAlignment="1">
      <alignment horizontal="left" vertical="center"/>
    </xf>
    <xf numFmtId="178" fontId="23" fillId="0" borderId="1" xfId="49" applyNumberFormat="1" applyFont="1" applyBorder="1" applyAlignment="1">
      <alignment horizontal="center" vertical="center"/>
    </xf>
    <xf numFmtId="0" fontId="3" fillId="0" borderId="1" xfId="0" applyFont="1" applyBorder="1" applyAlignment="1">
      <alignment horizontal="justify" vertical="center" wrapText="1"/>
    </xf>
    <xf numFmtId="0" fontId="3" fillId="0" borderId="1" xfId="0" applyFont="1" applyBorder="1" applyAlignment="1">
      <alignment horizontal="left" vertical="center" wrapText="1"/>
    </xf>
    <xf numFmtId="178" fontId="3" fillId="0" borderId="1" xfId="0" applyNumberFormat="1" applyFont="1" applyBorder="1" applyAlignment="1">
      <alignment horizontal="center" vertical="center" wrapText="1"/>
    </xf>
    <xf numFmtId="178" fontId="3" fillId="3" borderId="1" xfId="0" applyNumberFormat="1" applyFont="1" applyFill="1" applyBorder="1" applyAlignment="1">
      <alignment horizontal="center" vertical="center" wrapText="1"/>
    </xf>
    <xf numFmtId="10" fontId="3" fillId="0" borderId="1" xfId="0" applyNumberFormat="1" applyFont="1" applyBorder="1" applyAlignment="1">
      <alignment horizontal="center" vertical="center" wrapText="1"/>
    </xf>
    <xf numFmtId="178" fontId="3" fillId="6" borderId="1" xfId="0" applyNumberFormat="1" applyFont="1" applyFill="1" applyBorder="1" applyAlignment="1">
      <alignment horizontal="center" vertical="center" wrapText="1"/>
    </xf>
    <xf numFmtId="0" fontId="23" fillId="0" borderId="1" xfId="0" applyFont="1" applyBorder="1" applyAlignment="1">
      <alignment horizontal="justify" vertical="center" wrapText="1"/>
    </xf>
    <xf numFmtId="0" fontId="23" fillId="0" borderId="1" xfId="0" applyFont="1" applyBorder="1" applyAlignment="1">
      <alignment horizontal="left" vertical="center" wrapText="1"/>
    </xf>
    <xf numFmtId="178" fontId="23" fillId="0" borderId="1" xfId="0" applyNumberFormat="1" applyFont="1" applyBorder="1" applyAlignment="1">
      <alignment horizontal="center" vertical="center" wrapText="1"/>
    </xf>
    <xf numFmtId="178" fontId="23" fillId="6" borderId="1" xfId="0" applyNumberFormat="1" applyFont="1" applyFill="1" applyBorder="1" applyAlignment="1">
      <alignment horizontal="center" vertical="center" wrapText="1"/>
    </xf>
    <xf numFmtId="0" fontId="23" fillId="0" borderId="0" xfId="0" applyFont="1" applyAlignment="1">
      <alignment horizontal="center" vertical="center" wrapText="1"/>
    </xf>
    <xf numFmtId="0" fontId="23" fillId="6" borderId="1" xfId="0" applyFont="1" applyFill="1" applyBorder="1" applyAlignment="1">
      <alignment horizontal="justify" vertical="center" wrapText="1"/>
    </xf>
    <xf numFmtId="0" fontId="23" fillId="0" borderId="3" xfId="0" applyFont="1" applyBorder="1" applyAlignment="1">
      <alignment horizontal="justify" vertical="center" wrapText="1"/>
    </xf>
    <xf numFmtId="0" fontId="23" fillId="0" borderId="9" xfId="0" applyFont="1" applyBorder="1" applyAlignment="1">
      <alignment horizontal="justify" vertical="center" wrapText="1"/>
    </xf>
    <xf numFmtId="178" fontId="23" fillId="3" borderId="1" xfId="0" applyNumberFormat="1" applyFont="1" applyFill="1" applyBorder="1" applyAlignment="1">
      <alignment horizontal="center" vertical="center" wrapText="1"/>
    </xf>
    <xf numFmtId="0" fontId="23" fillId="0" borderId="7" xfId="0" applyFont="1" applyBorder="1" applyAlignment="1">
      <alignment horizontal="justify" vertical="center" wrapText="1"/>
    </xf>
    <xf numFmtId="0" fontId="23" fillId="0" borderId="0" xfId="0" applyFont="1" applyAlignment="1">
      <alignment horizontal="center" vertical="center"/>
    </xf>
    <xf numFmtId="49" fontId="23" fillId="0" borderId="1" xfId="49" applyNumberFormat="1" applyFont="1" applyBorder="1" applyAlignment="1">
      <alignment horizontal="left" vertical="center" wrapText="1"/>
    </xf>
    <xf numFmtId="0" fontId="27" fillId="0" borderId="1" xfId="52" applyFont="1" applyBorder="1" applyAlignment="1">
      <alignment horizontal="center" vertical="center" wrapText="1"/>
    </xf>
    <xf numFmtId="49" fontId="27" fillId="0" borderId="1" xfId="49" applyNumberFormat="1" applyFont="1" applyBorder="1" applyAlignment="1">
      <alignment horizontal="center" vertical="center" wrapText="1"/>
    </xf>
    <xf numFmtId="49" fontId="27" fillId="0" borderId="1" xfId="49" applyNumberFormat="1" applyFont="1" applyBorder="1" applyAlignment="1">
      <alignment horizontal="left" vertical="center" wrapText="1"/>
    </xf>
    <xf numFmtId="178" fontId="27" fillId="0" borderId="1" xfId="49" applyNumberFormat="1" applyFont="1" applyBorder="1" applyAlignment="1">
      <alignment horizontal="center" vertical="center" wrapText="1"/>
    </xf>
    <xf numFmtId="0" fontId="27" fillId="0" borderId="1" xfId="0" applyFont="1" applyBorder="1" applyAlignment="1">
      <alignment horizontal="justify" vertical="center" wrapText="1"/>
    </xf>
    <xf numFmtId="0" fontId="27" fillId="0" borderId="1" xfId="0" applyFont="1" applyBorder="1" applyAlignment="1">
      <alignment horizontal="left" vertical="center" wrapText="1"/>
    </xf>
    <xf numFmtId="178" fontId="27" fillId="0" borderId="1" xfId="0" applyNumberFormat="1" applyFont="1" applyBorder="1" applyAlignment="1">
      <alignment horizontal="center" vertical="center" wrapText="1"/>
    </xf>
    <xf numFmtId="178" fontId="27" fillId="6" borderId="1" xfId="0" applyNumberFormat="1" applyFont="1" applyFill="1" applyBorder="1" applyAlignment="1">
      <alignment horizontal="center" vertical="center" wrapText="1"/>
    </xf>
    <xf numFmtId="178" fontId="28" fillId="6" borderId="1" xfId="0" applyNumberFormat="1" applyFont="1" applyFill="1" applyBorder="1" applyAlignment="1">
      <alignment horizontal="center" vertical="center" wrapText="1"/>
    </xf>
    <xf numFmtId="0" fontId="27" fillId="0" borderId="0" xfId="0" applyFont="1" applyAlignment="1">
      <alignment horizontal="center" vertical="center" wrapText="1"/>
    </xf>
    <xf numFmtId="10" fontId="3" fillId="0" borderId="0" xfId="0" applyNumberFormat="1" applyFont="1">
      <alignment vertical="center"/>
    </xf>
    <xf numFmtId="0" fontId="7" fillId="0" borderId="1" xfId="52" applyFont="1" applyBorder="1" applyAlignment="1">
      <alignment horizontal="center" vertical="center" wrapText="1"/>
    </xf>
    <xf numFmtId="0" fontId="7" fillId="0" borderId="0" xfId="52" applyFont="1" applyAlignment="1">
      <alignment horizontal="center" vertical="center" wrapText="1"/>
    </xf>
    <xf numFmtId="10" fontId="7" fillId="0" borderId="0" xfId="52" applyNumberFormat="1" applyFont="1" applyAlignment="1">
      <alignment horizontal="center" vertical="center" wrapText="1"/>
    </xf>
    <xf numFmtId="0" fontId="29" fillId="0" borderId="0" xfId="52" applyFont="1" applyAlignment="1">
      <alignment horizontal="center" vertical="center"/>
    </xf>
    <xf numFmtId="0" fontId="6" fillId="0" borderId="0" xfId="0" applyFont="1" applyAlignment="1">
      <alignment horizontal="center" vertical="center" wrapText="1"/>
    </xf>
    <xf numFmtId="0" fontId="7" fillId="0" borderId="1" xfId="0" applyFont="1" applyBorder="1" applyAlignment="1">
      <alignment horizontal="center" vertical="center" wrapText="1"/>
    </xf>
    <xf numFmtId="10" fontId="7" fillId="0" borderId="1" xfId="0" applyNumberFormat="1" applyFont="1" applyBorder="1" applyAlignment="1">
      <alignment horizontal="center" vertical="center" wrapText="1"/>
    </xf>
    <xf numFmtId="0" fontId="29" fillId="0" borderId="1" xfId="52" applyFont="1" applyBorder="1" applyAlignment="1">
      <alignment horizontal="center" vertical="center"/>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xf>
    <xf numFmtId="49" fontId="29" fillId="0" borderId="1" xfId="49" applyNumberFormat="1" applyFont="1" applyBorder="1" applyAlignment="1">
      <alignment horizontal="center" vertical="center" wrapText="1"/>
    </xf>
    <xf numFmtId="49" fontId="29" fillId="0" borderId="1" xfId="49" applyNumberFormat="1" applyFont="1" applyBorder="1" applyAlignment="1">
      <alignment horizontal="center" vertical="center"/>
    </xf>
    <xf numFmtId="178" fontId="29" fillId="0" borderId="1" xfId="49" applyNumberFormat="1" applyFont="1" applyBorder="1" applyAlignment="1">
      <alignment horizontal="center" vertical="center"/>
    </xf>
    <xf numFmtId="0" fontId="29" fillId="0" borderId="1" xfId="49" applyFont="1" applyBorder="1" applyAlignment="1">
      <alignment horizontal="center" vertical="center" wrapText="1"/>
    </xf>
    <xf numFmtId="177" fontId="6" fillId="5" borderId="1" xfId="53" applyNumberFormat="1" applyFont="1" applyFill="1" applyBorder="1" applyAlignment="1">
      <alignment horizontal="center" vertical="center" wrapText="1"/>
    </xf>
    <xf numFmtId="177" fontId="29" fillId="0" borderId="1" xfId="53" applyNumberFormat="1" applyFont="1" applyFill="1" applyBorder="1" applyAlignment="1">
      <alignment horizontal="center" vertical="center" wrapText="1"/>
    </xf>
    <xf numFmtId="177" fontId="29" fillId="7" borderId="1" xfId="53" applyNumberFormat="1" applyFont="1" applyFill="1" applyBorder="1" applyAlignment="1">
      <alignment horizontal="center" vertical="center" wrapText="1"/>
    </xf>
    <xf numFmtId="177" fontId="29" fillId="6" borderId="1" xfId="53" applyNumberFormat="1" applyFont="1" applyFill="1" applyBorder="1" applyAlignment="1">
      <alignment horizontal="center" vertical="center" wrapText="1"/>
    </xf>
    <xf numFmtId="178" fontId="29" fillId="0" borderId="1" xfId="53" applyNumberFormat="1" applyFont="1" applyFill="1" applyBorder="1" applyAlignment="1">
      <alignment horizontal="center" vertical="center" wrapText="1"/>
    </xf>
    <xf numFmtId="10" fontId="29" fillId="0" borderId="1" xfId="53" applyNumberFormat="1" applyFont="1" applyFill="1" applyBorder="1" applyAlignment="1">
      <alignment horizontal="center" vertical="center" wrapText="1"/>
    </xf>
    <xf numFmtId="0" fontId="29" fillId="0" borderId="1" xfId="0" applyFont="1" applyBorder="1" applyAlignment="1">
      <alignment horizontal="center" vertical="center"/>
    </xf>
    <xf numFmtId="0" fontId="29" fillId="0" borderId="1" xfId="49" applyFont="1" applyBorder="1" applyAlignment="1">
      <alignment horizontal="left" vertical="center" wrapText="1"/>
    </xf>
    <xf numFmtId="178" fontId="6" fillId="5" borderId="1" xfId="1" applyNumberFormat="1" applyFont="1" applyFill="1" applyBorder="1" applyAlignment="1">
      <alignment horizontal="center" vertical="center" wrapText="1"/>
    </xf>
    <xf numFmtId="178" fontId="6" fillId="5" borderId="1" xfId="53" applyNumberFormat="1" applyFont="1" applyFill="1" applyBorder="1" applyAlignment="1">
      <alignment horizontal="center" vertical="center" wrapText="1"/>
    </xf>
    <xf numFmtId="49" fontId="29" fillId="0" borderId="1" xfId="49" applyNumberFormat="1" applyFont="1" applyBorder="1" applyAlignment="1">
      <alignment horizontal="left" vertical="center" wrapText="1"/>
    </xf>
    <xf numFmtId="177" fontId="29" fillId="0" borderId="1" xfId="53" applyNumberFormat="1" applyFont="1" applyFill="1" applyBorder="1" applyAlignment="1">
      <alignment horizontal="center" vertical="center"/>
    </xf>
    <xf numFmtId="0" fontId="6" fillId="5" borderId="1" xfId="53" applyNumberFormat="1" applyFont="1" applyFill="1" applyBorder="1" applyAlignment="1">
      <alignment horizontal="center" vertical="center" wrapText="1"/>
    </xf>
    <xf numFmtId="177" fontId="6" fillId="5" borderId="1" xfId="0" applyNumberFormat="1" applyFont="1" applyFill="1" applyBorder="1" applyAlignment="1">
      <alignment horizontal="center" vertical="center" wrapText="1"/>
    </xf>
    <xf numFmtId="178" fontId="6" fillId="5" borderId="1" xfId="0" applyNumberFormat="1" applyFont="1" applyFill="1" applyBorder="1" applyAlignment="1">
      <alignment horizontal="center" vertical="center" wrapText="1"/>
    </xf>
    <xf numFmtId="0" fontId="6" fillId="5" borderId="1" xfId="49" applyFont="1" applyFill="1" applyBorder="1" applyAlignment="1">
      <alignment horizontal="center" vertical="center" wrapText="1"/>
    </xf>
    <xf numFmtId="0" fontId="6" fillId="5"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6" fillId="0" borderId="1" xfId="0" applyFont="1" applyBorder="1" applyAlignment="1">
      <alignment horizontal="left" vertical="center" wrapText="1"/>
    </xf>
    <xf numFmtId="177" fontId="29" fillId="8" borderId="1" xfId="53" applyNumberFormat="1" applyFont="1" applyFill="1" applyBorder="1" applyAlignment="1">
      <alignment horizontal="center" vertical="center" wrapText="1"/>
    </xf>
    <xf numFmtId="0" fontId="6" fillId="0" borderId="0" xfId="0" applyFont="1" applyAlignment="1">
      <alignment vertical="center" wrapText="1"/>
    </xf>
    <xf numFmtId="177" fontId="8" fillId="0" borderId="0" xfId="53" applyNumberFormat="1" applyFont="1" applyFill="1" applyBorder="1" applyAlignment="1">
      <alignment horizontal="center" vertical="center"/>
    </xf>
    <xf numFmtId="0" fontId="6" fillId="0" borderId="1" xfId="50" applyFont="1" applyBorder="1" applyAlignment="1">
      <alignment horizontal="center" vertical="center"/>
    </xf>
    <xf numFmtId="177" fontId="4" fillId="0" borderId="1" xfId="0" applyNumberFormat="1" applyFont="1" applyBorder="1" applyAlignment="1" quotePrefix="1">
      <alignment horizontal="center" vertical="center"/>
    </xf>
    <xf numFmtId="177" fontId="4" fillId="2" borderId="1" xfId="0" applyNumberFormat="1" applyFont="1" applyFill="1" applyBorder="1" applyAlignment="1" quotePrefix="1">
      <alignment horizontal="center" vertical="center"/>
    </xf>
    <xf numFmtId="177" fontId="8" fillId="0" borderId="1" xfId="49" applyNumberFormat="1" applyFont="1" applyBorder="1" applyAlignment="1" quotePrefix="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_目录-专家研讨结果0810310000000000_目录-专家研讨结果081110老猫 2" xfId="49"/>
    <cellStyle name="Normal" xfId="50"/>
    <cellStyle name="Normal_目录-专家研讨结果081110老猫" xfId="51"/>
    <cellStyle name="常规 2" xfId="52"/>
    <cellStyle name="千位分隔 3" xfId="53"/>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75</xdr:row>
      <xdr:rowOff>0</xdr:rowOff>
    </xdr:from>
    <xdr:to>
      <xdr:col>5</xdr:col>
      <xdr:colOff>18415</xdr:colOff>
      <xdr:row>75</xdr:row>
      <xdr:rowOff>8890</xdr:rowOff>
    </xdr:to>
    <xdr:pic>
      <xdr:nvPicPr>
        <xdr:cNvPr id="2"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3"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4"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5"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6"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7"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8"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9"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0"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1"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2"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3"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4"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5"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6"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7"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8"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9"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ork\Tower%20Work\&#26041;&#26696;&#35774;&#35745;\2023&#24180;&#22806;&#24066;&#30005;&#24341;&#20837;&#26045;&#24037;&#26381;&#21153;&#27169;&#22359;&#39044;&#31639;&#65288;&#21021;&#29256;&#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外市电点位明细表"/>
      <sheetName val="预算工作量"/>
      <sheetName val="预算模块清单"/>
      <sheetName val="链接表"/>
      <sheetName val="区域系数链接表"/>
      <sheetName val="地面站市电编码（最新版）"/>
      <sheetName val="楼面站市电编码（最新版）"/>
      <sheetName val="杆塔服务模块（最新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
  <sheetViews>
    <sheetView zoomScale="60" zoomScaleNormal="60" workbookViewId="0">
      <pane xSplit="5" ySplit="2" topLeftCell="F3" activePane="bottomRight" state="frozen"/>
      <selection/>
      <selection pane="topRight"/>
      <selection pane="bottomLeft"/>
      <selection pane="bottomRight" activeCell="H3" sqref="H3"/>
    </sheetView>
  </sheetViews>
  <sheetFormatPr defaultColWidth="9" defaultRowHeight="15" customHeight="1"/>
  <cols>
    <col min="1" max="1" width="5.5" style="229" customWidth="1"/>
    <col min="2" max="2" width="23.1333333333333" style="229" customWidth="1"/>
    <col min="3" max="4" width="9" style="229"/>
    <col min="5" max="5" width="53.3833333333333" style="229" customWidth="1"/>
    <col min="6" max="6" width="36.8833333333333" style="229" customWidth="1"/>
    <col min="7" max="13" width="13.3833333333333" style="229" customWidth="1"/>
    <col min="14" max="14" width="13.3833333333333" style="278" customWidth="1"/>
    <col min="15" max="15" width="9" style="229"/>
    <col min="16" max="16" width="26.25" style="229" customWidth="1"/>
    <col min="17" max="18" width="9" style="229"/>
    <col min="19" max="19" width="12" style="229" customWidth="1"/>
    <col min="20" max="16384" width="9" style="229"/>
  </cols>
  <sheetData>
    <row r="1" ht="28.15" customHeight="1" spans="1:19">
      <c r="A1" s="25" t="s">
        <v>0</v>
      </c>
      <c r="B1" s="26" t="s">
        <v>1</v>
      </c>
      <c r="C1" s="27" t="s">
        <v>2</v>
      </c>
      <c r="D1" s="29" t="s">
        <v>3</v>
      </c>
      <c r="E1" s="30" t="s">
        <v>4</v>
      </c>
      <c r="F1" s="30" t="s">
        <v>5</v>
      </c>
      <c r="G1" s="279" t="s">
        <v>6</v>
      </c>
      <c r="H1" s="279"/>
      <c r="I1" s="279"/>
      <c r="J1" s="279" t="s">
        <v>7</v>
      </c>
      <c r="K1" s="279"/>
      <c r="L1" s="279"/>
      <c r="M1" s="280"/>
      <c r="N1" s="281"/>
      <c r="O1" s="282"/>
      <c r="P1" s="283"/>
    </row>
    <row r="2" ht="34.15" customHeight="1" spans="1:19">
      <c r="A2" s="39"/>
      <c r="B2" s="40"/>
      <c r="C2" s="41"/>
      <c r="D2" s="43"/>
      <c r="E2" s="44"/>
      <c r="F2" s="44"/>
      <c r="G2" s="279" t="s">
        <v>8</v>
      </c>
      <c r="H2" s="279" t="s">
        <v>9</v>
      </c>
      <c r="I2" s="284" t="s">
        <v>10</v>
      </c>
      <c r="J2" s="279" t="s">
        <v>8</v>
      </c>
      <c r="K2" s="279" t="s">
        <v>9</v>
      </c>
      <c r="L2" s="284" t="s">
        <v>10</v>
      </c>
      <c r="M2" s="284" t="s">
        <v>11</v>
      </c>
      <c r="N2" s="285" t="s">
        <v>12</v>
      </c>
      <c r="O2" s="286" t="s">
        <v>13</v>
      </c>
      <c r="P2" s="287" t="s">
        <v>14</v>
      </c>
      <c r="S2" s="229" t="s">
        <v>15</v>
      </c>
    </row>
    <row r="3" ht="165" spans="1:19">
      <c r="A3" s="288">
        <v>1</v>
      </c>
      <c r="B3" s="289" t="s">
        <v>16</v>
      </c>
      <c r="C3" s="290" t="s">
        <v>17</v>
      </c>
      <c r="D3" s="291" t="s">
        <v>18</v>
      </c>
      <c r="E3" s="292" t="s">
        <v>19</v>
      </c>
      <c r="F3" s="292"/>
      <c r="G3" s="293">
        <v>11324.11</v>
      </c>
      <c r="H3" s="293">
        <v>226.48</v>
      </c>
      <c r="I3" s="294">
        <f t="shared" ref="I3:I53" si="0">H3+G3</f>
        <v>11550.59</v>
      </c>
      <c r="J3" s="295">
        <v>8248.53</v>
      </c>
      <c r="K3" s="295">
        <v>164.97</v>
      </c>
      <c r="L3" s="296">
        <f t="shared" ref="L3:L17" si="1">J3+K3</f>
        <v>8413.5</v>
      </c>
      <c r="M3" s="297">
        <f t="shared" ref="M3:M56" si="2">L3-I3</f>
        <v>-3137.09</v>
      </c>
      <c r="N3" s="298">
        <f t="shared" ref="N3:N53" si="3">M3/G3</f>
        <v>-0.27702751032973</v>
      </c>
      <c r="O3" s="299" t="s">
        <v>20</v>
      </c>
      <c r="P3" s="50" t="s">
        <v>21</v>
      </c>
      <c r="Q3" s="23" t="s">
        <v>22</v>
      </c>
      <c r="S3" s="229" t="s">
        <v>23</v>
      </c>
    </row>
    <row r="4" ht="165" spans="1:19">
      <c r="A4" s="288">
        <v>2</v>
      </c>
      <c r="B4" s="289" t="s">
        <v>24</v>
      </c>
      <c r="C4" s="290" t="s">
        <v>17</v>
      </c>
      <c r="D4" s="291" t="s">
        <v>18</v>
      </c>
      <c r="E4" s="300" t="s">
        <v>25</v>
      </c>
      <c r="F4" s="300"/>
      <c r="G4" s="293">
        <v>12154.94</v>
      </c>
      <c r="H4" s="293">
        <v>243.1</v>
      </c>
      <c r="I4" s="294">
        <f t="shared" si="0"/>
        <v>12398.04</v>
      </c>
      <c r="J4" s="295">
        <v>9495.53</v>
      </c>
      <c r="K4" s="295">
        <v>189.91</v>
      </c>
      <c r="L4" s="296">
        <f t="shared" si="1"/>
        <v>9685.44</v>
      </c>
      <c r="M4" s="297">
        <f t="shared" si="2"/>
        <v>-2712.6</v>
      </c>
      <c r="N4" s="298">
        <f t="shared" si="3"/>
        <v>-0.223168522427918</v>
      </c>
      <c r="O4" s="299" t="s">
        <v>20</v>
      </c>
      <c r="P4" s="50" t="s">
        <v>21</v>
      </c>
      <c r="Q4" s="23" t="s">
        <v>22</v>
      </c>
      <c r="S4" s="229" t="s">
        <v>23</v>
      </c>
    </row>
    <row r="5" ht="148.5" spans="1:19">
      <c r="A5" s="288">
        <v>3</v>
      </c>
      <c r="B5" s="289" t="s">
        <v>26</v>
      </c>
      <c r="C5" s="290" t="s">
        <v>17</v>
      </c>
      <c r="D5" s="291" t="s">
        <v>18</v>
      </c>
      <c r="E5" s="292" t="s">
        <v>27</v>
      </c>
      <c r="F5" s="292"/>
      <c r="G5" s="293">
        <v>7157.5</v>
      </c>
      <c r="H5" s="293">
        <v>143.15</v>
      </c>
      <c r="I5" s="294">
        <f t="shared" si="0"/>
        <v>7300.65</v>
      </c>
      <c r="J5" s="295">
        <v>4970.19</v>
      </c>
      <c r="K5" s="295">
        <v>99.4</v>
      </c>
      <c r="L5" s="296">
        <f t="shared" si="1"/>
        <v>5069.59</v>
      </c>
      <c r="M5" s="297">
        <f t="shared" si="2"/>
        <v>-2231.06</v>
      </c>
      <c r="N5" s="298">
        <f t="shared" si="3"/>
        <v>-0.311709395738736</v>
      </c>
      <c r="O5" s="299" t="s">
        <v>20</v>
      </c>
      <c r="P5" s="50" t="s">
        <v>28</v>
      </c>
      <c r="Q5" s="23" t="s">
        <v>22</v>
      </c>
      <c r="S5" s="229" t="s">
        <v>23</v>
      </c>
    </row>
    <row r="6" ht="132" spans="1:19">
      <c r="A6" s="288">
        <v>4</v>
      </c>
      <c r="B6" s="289" t="s">
        <v>29</v>
      </c>
      <c r="C6" s="290" t="s">
        <v>17</v>
      </c>
      <c r="D6" s="291" t="s">
        <v>30</v>
      </c>
      <c r="E6" s="292" t="s">
        <v>31</v>
      </c>
      <c r="F6" s="292"/>
      <c r="G6" s="301">
        <v>9336.76</v>
      </c>
      <c r="H6" s="301">
        <v>186.74</v>
      </c>
      <c r="I6" s="294">
        <f t="shared" si="0"/>
        <v>9523.5</v>
      </c>
      <c r="J6" s="295">
        <v>5938.47</v>
      </c>
      <c r="K6" s="295">
        <v>118.77</v>
      </c>
      <c r="L6" s="296">
        <f t="shared" si="1"/>
        <v>6057.24</v>
      </c>
      <c r="M6" s="297">
        <f t="shared" si="2"/>
        <v>-3466.26</v>
      </c>
      <c r="N6" s="298">
        <f t="shared" si="3"/>
        <v>-0.371248698692052</v>
      </c>
      <c r="O6" s="299" t="s">
        <v>20</v>
      </c>
      <c r="P6" s="50" t="s">
        <v>28</v>
      </c>
      <c r="Q6" s="23" t="s">
        <v>22</v>
      </c>
      <c r="S6" s="229" t="s">
        <v>23</v>
      </c>
    </row>
    <row r="7" ht="33" spans="1:19">
      <c r="A7" s="288">
        <v>5</v>
      </c>
      <c r="B7" s="289" t="s">
        <v>32</v>
      </c>
      <c r="C7" s="290" t="s">
        <v>17</v>
      </c>
      <c r="D7" s="291" t="s">
        <v>30</v>
      </c>
      <c r="E7" s="292" t="s">
        <v>33</v>
      </c>
      <c r="F7" s="292"/>
      <c r="G7" s="301">
        <v>1147.68</v>
      </c>
      <c r="H7" s="301">
        <v>22.95</v>
      </c>
      <c r="I7" s="294">
        <f t="shared" si="0"/>
        <v>1170.63</v>
      </c>
      <c r="J7" s="295">
        <v>1015.95</v>
      </c>
      <c r="K7" s="295">
        <v>20.3</v>
      </c>
      <c r="L7" s="296">
        <f t="shared" si="1"/>
        <v>1036.25</v>
      </c>
      <c r="M7" s="297">
        <f t="shared" si="2"/>
        <v>-134.38</v>
      </c>
      <c r="N7" s="298">
        <f t="shared" si="3"/>
        <v>-0.117088387006831</v>
      </c>
      <c r="O7" s="299" t="s">
        <v>20</v>
      </c>
      <c r="P7" s="50" t="s">
        <v>21</v>
      </c>
      <c r="Q7" s="23" t="s">
        <v>22</v>
      </c>
      <c r="S7" s="229" t="s">
        <v>23</v>
      </c>
    </row>
    <row r="8" ht="49.5" spans="1:19">
      <c r="A8" s="288">
        <v>6</v>
      </c>
      <c r="B8" s="289" t="s">
        <v>34</v>
      </c>
      <c r="C8" s="290" t="s">
        <v>17</v>
      </c>
      <c r="D8" s="291" t="s">
        <v>30</v>
      </c>
      <c r="E8" s="292" t="s">
        <v>35</v>
      </c>
      <c r="F8" s="292"/>
      <c r="G8" s="293">
        <v>1651.45</v>
      </c>
      <c r="H8" s="293">
        <v>33.03</v>
      </c>
      <c r="I8" s="294">
        <f t="shared" si="0"/>
        <v>1684.48</v>
      </c>
      <c r="J8" s="295">
        <v>1349.04</v>
      </c>
      <c r="K8" s="295">
        <v>26.98</v>
      </c>
      <c r="L8" s="296">
        <f t="shared" si="1"/>
        <v>1376.02</v>
      </c>
      <c r="M8" s="297">
        <f t="shared" si="2"/>
        <v>-308.46</v>
      </c>
      <c r="N8" s="298">
        <f t="shared" si="3"/>
        <v>-0.186781313391262</v>
      </c>
      <c r="O8" s="299" t="s">
        <v>20</v>
      </c>
      <c r="P8" s="50" t="s">
        <v>21</v>
      </c>
      <c r="Q8" s="23" t="s">
        <v>22</v>
      </c>
      <c r="S8" s="229" t="s">
        <v>23</v>
      </c>
    </row>
    <row r="9" ht="82.5" spans="1:19">
      <c r="A9" s="288">
        <v>7</v>
      </c>
      <c r="B9" s="289" t="s">
        <v>36</v>
      </c>
      <c r="C9" s="290" t="s">
        <v>17</v>
      </c>
      <c r="D9" s="291" t="s">
        <v>37</v>
      </c>
      <c r="E9" s="292" t="s">
        <v>38</v>
      </c>
      <c r="F9" s="292"/>
      <c r="G9" s="293">
        <v>1075.16</v>
      </c>
      <c r="H9" s="293">
        <v>21.5</v>
      </c>
      <c r="I9" s="294">
        <f t="shared" si="0"/>
        <v>1096.66</v>
      </c>
      <c r="J9" s="295">
        <v>1075.16</v>
      </c>
      <c r="K9" s="295">
        <v>21.5</v>
      </c>
      <c r="L9" s="296">
        <f t="shared" si="1"/>
        <v>1096.66</v>
      </c>
      <c r="M9" s="297">
        <f t="shared" si="2"/>
        <v>0</v>
      </c>
      <c r="N9" s="298">
        <f t="shared" si="3"/>
        <v>0</v>
      </c>
      <c r="O9" s="299" t="s">
        <v>20</v>
      </c>
      <c r="P9" s="50" t="s">
        <v>39</v>
      </c>
      <c r="Q9" s="23" t="s">
        <v>22</v>
      </c>
      <c r="S9" s="229" t="s">
        <v>23</v>
      </c>
    </row>
    <row r="10" ht="82.5" spans="1:19">
      <c r="A10" s="288">
        <v>8</v>
      </c>
      <c r="B10" s="289" t="s">
        <v>40</v>
      </c>
      <c r="C10" s="290" t="s">
        <v>17</v>
      </c>
      <c r="D10" s="291" t="s">
        <v>37</v>
      </c>
      <c r="E10" s="292" t="s">
        <v>41</v>
      </c>
      <c r="F10" s="292"/>
      <c r="G10" s="293">
        <v>759.88</v>
      </c>
      <c r="H10" s="293">
        <v>15.2</v>
      </c>
      <c r="I10" s="294">
        <f t="shared" si="0"/>
        <v>775.08</v>
      </c>
      <c r="J10" s="295">
        <v>759.88</v>
      </c>
      <c r="K10" s="295">
        <v>15.2</v>
      </c>
      <c r="L10" s="296">
        <f t="shared" si="1"/>
        <v>775.08</v>
      </c>
      <c r="M10" s="297">
        <f t="shared" si="2"/>
        <v>0</v>
      </c>
      <c r="N10" s="298">
        <f t="shared" si="3"/>
        <v>0</v>
      </c>
      <c r="O10" s="299" t="s">
        <v>20</v>
      </c>
      <c r="P10" s="50" t="s">
        <v>39</v>
      </c>
      <c r="Q10" s="23" t="s">
        <v>22</v>
      </c>
      <c r="S10" s="229" t="s">
        <v>23</v>
      </c>
    </row>
    <row r="11" ht="66" spans="1:19">
      <c r="A11" s="288">
        <v>9</v>
      </c>
      <c r="B11" s="289" t="s">
        <v>42</v>
      </c>
      <c r="C11" s="290" t="s">
        <v>17</v>
      </c>
      <c r="D11" s="291" t="s">
        <v>43</v>
      </c>
      <c r="E11" s="292" t="s">
        <v>44</v>
      </c>
      <c r="F11" s="292"/>
      <c r="G11" s="293">
        <v>4101.39</v>
      </c>
      <c r="H11" s="293">
        <v>82.03</v>
      </c>
      <c r="I11" s="294">
        <f t="shared" si="0"/>
        <v>4183.42</v>
      </c>
      <c r="J11" s="295">
        <v>3881.51</v>
      </c>
      <c r="K11" s="295">
        <v>77.63</v>
      </c>
      <c r="L11" s="296">
        <f t="shared" si="1"/>
        <v>3959.14</v>
      </c>
      <c r="M11" s="297">
        <f t="shared" si="2"/>
        <v>-224.28</v>
      </c>
      <c r="N11" s="298">
        <f t="shared" si="3"/>
        <v>-0.0546838998485879</v>
      </c>
      <c r="O11" s="299" t="s">
        <v>20</v>
      </c>
      <c r="P11" s="50" t="s">
        <v>21</v>
      </c>
      <c r="Q11" s="23" t="s">
        <v>22</v>
      </c>
      <c r="S11" s="229" t="s">
        <v>23</v>
      </c>
    </row>
    <row r="12" ht="33" spans="1:19">
      <c r="A12" s="288">
        <v>10</v>
      </c>
      <c r="B12" s="289" t="s">
        <v>45</v>
      </c>
      <c r="C12" s="290" t="s">
        <v>17</v>
      </c>
      <c r="D12" s="291" t="s">
        <v>46</v>
      </c>
      <c r="E12" s="292" t="s">
        <v>47</v>
      </c>
      <c r="F12" s="292"/>
      <c r="G12" s="293">
        <v>3365.98</v>
      </c>
      <c r="H12" s="293">
        <v>67.32</v>
      </c>
      <c r="I12" s="294">
        <f t="shared" si="0"/>
        <v>3433.3</v>
      </c>
      <c r="J12" s="295">
        <v>3277.5</v>
      </c>
      <c r="K12" s="295">
        <v>65.55</v>
      </c>
      <c r="L12" s="296">
        <f t="shared" si="1"/>
        <v>3343.05</v>
      </c>
      <c r="M12" s="297">
        <f t="shared" si="2"/>
        <v>-90.25</v>
      </c>
      <c r="N12" s="298">
        <f t="shared" si="3"/>
        <v>-0.0268123993606617</v>
      </c>
      <c r="O12" s="299" t="s">
        <v>20</v>
      </c>
      <c r="P12" s="50" t="s">
        <v>21</v>
      </c>
      <c r="Q12" s="23" t="s">
        <v>22</v>
      </c>
      <c r="S12" s="229" t="s">
        <v>23</v>
      </c>
    </row>
    <row r="13" ht="33" spans="1:19">
      <c r="A13" s="288">
        <v>11</v>
      </c>
      <c r="B13" s="289" t="s">
        <v>48</v>
      </c>
      <c r="C13" s="290" t="s">
        <v>17</v>
      </c>
      <c r="D13" s="291" t="s">
        <v>46</v>
      </c>
      <c r="E13" s="292" t="s">
        <v>49</v>
      </c>
      <c r="F13" s="292"/>
      <c r="G13" s="293">
        <v>2341.34</v>
      </c>
      <c r="H13" s="293">
        <v>46.83</v>
      </c>
      <c r="I13" s="294">
        <f t="shared" si="0"/>
        <v>2388.17</v>
      </c>
      <c r="J13" s="295">
        <v>2228.18</v>
      </c>
      <c r="K13" s="295">
        <v>44.56</v>
      </c>
      <c r="L13" s="296">
        <f t="shared" si="1"/>
        <v>2272.74</v>
      </c>
      <c r="M13" s="297">
        <f t="shared" si="2"/>
        <v>-115.43</v>
      </c>
      <c r="N13" s="298">
        <f t="shared" si="3"/>
        <v>-0.0493008277311284</v>
      </c>
      <c r="O13" s="299" t="s">
        <v>20</v>
      </c>
      <c r="P13" s="50" t="s">
        <v>21</v>
      </c>
      <c r="Q13" s="23" t="s">
        <v>22</v>
      </c>
      <c r="S13" s="229" t="s">
        <v>23</v>
      </c>
    </row>
    <row r="14" ht="33" spans="1:19">
      <c r="A14" s="288">
        <v>12</v>
      </c>
      <c r="B14" s="289" t="s">
        <v>50</v>
      </c>
      <c r="C14" s="290" t="s">
        <v>17</v>
      </c>
      <c r="D14" s="291" t="s">
        <v>18</v>
      </c>
      <c r="E14" s="292" t="s">
        <v>51</v>
      </c>
      <c r="F14" s="292"/>
      <c r="G14" s="302">
        <v>720.95</v>
      </c>
      <c r="H14" s="302">
        <v>14.42</v>
      </c>
      <c r="I14" s="294">
        <f t="shared" si="0"/>
        <v>735.37</v>
      </c>
      <c r="J14" s="295">
        <v>710.87</v>
      </c>
      <c r="K14" s="295">
        <v>14.22</v>
      </c>
      <c r="L14" s="296">
        <f t="shared" si="1"/>
        <v>725.09</v>
      </c>
      <c r="M14" s="297">
        <f t="shared" si="2"/>
        <v>-10.28</v>
      </c>
      <c r="N14" s="298">
        <f t="shared" si="3"/>
        <v>-0.0142589638671197</v>
      </c>
      <c r="O14" s="299" t="s">
        <v>20</v>
      </c>
      <c r="P14" s="50" t="s">
        <v>21</v>
      </c>
      <c r="Q14" s="23" t="s">
        <v>22</v>
      </c>
      <c r="S14" s="229" t="s">
        <v>23</v>
      </c>
    </row>
    <row r="15" ht="66" spans="1:19">
      <c r="A15" s="288">
        <v>13</v>
      </c>
      <c r="B15" s="289" t="s">
        <v>52</v>
      </c>
      <c r="C15" s="290" t="s">
        <v>17</v>
      </c>
      <c r="D15" s="291" t="s">
        <v>43</v>
      </c>
      <c r="E15" s="300" t="s">
        <v>53</v>
      </c>
      <c r="F15" s="300"/>
      <c r="G15" s="302">
        <v>1739.71</v>
      </c>
      <c r="H15" s="302">
        <v>34.79</v>
      </c>
      <c r="I15" s="294">
        <f t="shared" si="0"/>
        <v>1774.5</v>
      </c>
      <c r="J15" s="295">
        <v>1666.95</v>
      </c>
      <c r="K15" s="295">
        <v>33.34</v>
      </c>
      <c r="L15" s="296">
        <f t="shared" si="1"/>
        <v>1700.29</v>
      </c>
      <c r="M15" s="297">
        <f t="shared" si="2"/>
        <v>-74.21</v>
      </c>
      <c r="N15" s="298">
        <f t="shared" si="3"/>
        <v>-0.042656534709808</v>
      </c>
      <c r="O15" s="299" t="s">
        <v>20</v>
      </c>
      <c r="P15" s="50" t="s">
        <v>21</v>
      </c>
      <c r="Q15" s="23" t="s">
        <v>22</v>
      </c>
      <c r="S15" s="229" t="s">
        <v>23</v>
      </c>
    </row>
    <row r="16" ht="33" spans="1:19">
      <c r="A16" s="288">
        <v>14</v>
      </c>
      <c r="B16" s="289" t="s">
        <v>54</v>
      </c>
      <c r="C16" s="290" t="s">
        <v>17</v>
      </c>
      <c r="D16" s="291" t="s">
        <v>55</v>
      </c>
      <c r="E16" s="292" t="s">
        <v>56</v>
      </c>
      <c r="F16" s="292"/>
      <c r="G16" s="302">
        <v>2404.48</v>
      </c>
      <c r="H16" s="302">
        <v>48.09</v>
      </c>
      <c r="I16" s="294">
        <f t="shared" si="0"/>
        <v>2452.57</v>
      </c>
      <c r="J16" s="295">
        <v>2287.84</v>
      </c>
      <c r="K16" s="295">
        <v>45.76</v>
      </c>
      <c r="L16" s="296">
        <f t="shared" si="1"/>
        <v>2333.6</v>
      </c>
      <c r="M16" s="297">
        <f t="shared" si="2"/>
        <v>-118.97</v>
      </c>
      <c r="N16" s="298">
        <f t="shared" si="3"/>
        <v>-0.0494784735161032</v>
      </c>
      <c r="O16" s="299" t="s">
        <v>20</v>
      </c>
      <c r="P16" s="50" t="s">
        <v>21</v>
      </c>
      <c r="Q16" s="23" t="s">
        <v>22</v>
      </c>
      <c r="S16" s="229" t="s">
        <v>23</v>
      </c>
    </row>
    <row r="17" ht="33" spans="1:19">
      <c r="A17" s="288">
        <v>15</v>
      </c>
      <c r="B17" s="303" t="s">
        <v>57</v>
      </c>
      <c r="C17" s="290" t="s">
        <v>17</v>
      </c>
      <c r="D17" s="291" t="s">
        <v>55</v>
      </c>
      <c r="E17" s="292" t="s">
        <v>58</v>
      </c>
      <c r="F17" s="292"/>
      <c r="G17" s="302">
        <v>1445.81</v>
      </c>
      <c r="H17" s="302">
        <v>28.92</v>
      </c>
      <c r="I17" s="294">
        <f t="shared" si="0"/>
        <v>1474.73</v>
      </c>
      <c r="J17" s="295">
        <v>1268.01</v>
      </c>
      <c r="K17" s="295">
        <v>25.36</v>
      </c>
      <c r="L17" s="296">
        <f t="shared" si="1"/>
        <v>1293.37</v>
      </c>
      <c r="M17" s="297">
        <f t="shared" si="2"/>
        <v>-181.36</v>
      </c>
      <c r="N17" s="298">
        <f t="shared" si="3"/>
        <v>-0.125438335604263</v>
      </c>
      <c r="O17" s="299" t="s">
        <v>20</v>
      </c>
      <c r="P17" s="50" t="s">
        <v>21</v>
      </c>
      <c r="Q17" s="23" t="s">
        <v>22</v>
      </c>
      <c r="S17" s="229" t="s">
        <v>23</v>
      </c>
    </row>
    <row r="18" ht="33" spans="1:19">
      <c r="A18" s="288">
        <v>16</v>
      </c>
      <c r="B18" s="303" t="s">
        <v>59</v>
      </c>
      <c r="C18" s="290" t="s">
        <v>17</v>
      </c>
      <c r="D18" s="291" t="s">
        <v>55</v>
      </c>
      <c r="E18" s="292" t="s">
        <v>60</v>
      </c>
      <c r="F18" s="292"/>
      <c r="G18" s="302">
        <v>681.16</v>
      </c>
      <c r="H18" s="302">
        <v>13.62</v>
      </c>
      <c r="I18" s="294">
        <f t="shared" si="0"/>
        <v>694.78</v>
      </c>
      <c r="J18" s="295">
        <v>670.55</v>
      </c>
      <c r="K18" s="295">
        <v>13.41</v>
      </c>
      <c r="L18" s="296">
        <v>625.7</v>
      </c>
      <c r="M18" s="297">
        <f t="shared" si="2"/>
        <v>-69.0799999999999</v>
      </c>
      <c r="N18" s="298">
        <f t="shared" si="3"/>
        <v>-0.1014152328381</v>
      </c>
      <c r="O18" s="299" t="s">
        <v>20</v>
      </c>
      <c r="P18" s="50" t="s">
        <v>61</v>
      </c>
      <c r="Q18" s="23" t="s">
        <v>22</v>
      </c>
      <c r="S18" s="229" t="s">
        <v>23</v>
      </c>
    </row>
    <row r="19" ht="33" spans="1:19">
      <c r="A19" s="288">
        <v>17</v>
      </c>
      <c r="B19" s="303" t="s">
        <v>62</v>
      </c>
      <c r="C19" s="290" t="s">
        <v>17</v>
      </c>
      <c r="D19" s="291" t="s">
        <v>63</v>
      </c>
      <c r="E19" s="292" t="s">
        <v>64</v>
      </c>
      <c r="F19" s="292"/>
      <c r="G19" s="293">
        <v>838.17</v>
      </c>
      <c r="H19" s="293">
        <v>16.76</v>
      </c>
      <c r="I19" s="294">
        <f t="shared" si="0"/>
        <v>854.93</v>
      </c>
      <c r="J19" s="295">
        <v>836.84</v>
      </c>
      <c r="K19" s="295">
        <v>16.74</v>
      </c>
      <c r="L19" s="296">
        <f t="shared" ref="L19:L53" si="4">J19+K19</f>
        <v>853.58</v>
      </c>
      <c r="M19" s="297">
        <f t="shared" si="2"/>
        <v>-1.34999999999991</v>
      </c>
      <c r="N19" s="298">
        <f t="shared" si="3"/>
        <v>-0.00161065177708569</v>
      </c>
      <c r="O19" s="304" t="s">
        <v>65</v>
      </c>
      <c r="P19" s="50" t="s">
        <v>66</v>
      </c>
      <c r="Q19" s="23" t="s">
        <v>67</v>
      </c>
      <c r="S19" s="229" t="s">
        <v>23</v>
      </c>
    </row>
    <row r="20" ht="66" spans="1:19">
      <c r="A20" s="288">
        <v>18</v>
      </c>
      <c r="B20" s="303" t="s">
        <v>68</v>
      </c>
      <c r="C20" s="290" t="s">
        <v>17</v>
      </c>
      <c r="D20" s="291" t="s">
        <v>18</v>
      </c>
      <c r="E20" s="292" t="s">
        <v>69</v>
      </c>
      <c r="F20" s="292"/>
      <c r="G20" s="305">
        <v>1267.83</v>
      </c>
      <c r="H20" s="305">
        <v>25.36</v>
      </c>
      <c r="I20" s="294">
        <f t="shared" si="0"/>
        <v>1293.19</v>
      </c>
      <c r="J20" s="295">
        <v>1096.21</v>
      </c>
      <c r="K20" s="295">
        <v>21.92</v>
      </c>
      <c r="L20" s="296">
        <f t="shared" si="4"/>
        <v>1118.13</v>
      </c>
      <c r="M20" s="297">
        <f t="shared" si="2"/>
        <v>-175.06</v>
      </c>
      <c r="N20" s="298">
        <f t="shared" si="3"/>
        <v>-0.138078449003415</v>
      </c>
      <c r="O20" s="304" t="s">
        <v>65</v>
      </c>
      <c r="P20" s="50" t="s">
        <v>21</v>
      </c>
      <c r="Q20" s="23" t="s">
        <v>67</v>
      </c>
      <c r="S20" s="229" t="s">
        <v>23</v>
      </c>
    </row>
    <row r="21" ht="66" spans="1:19">
      <c r="A21" s="288">
        <v>19</v>
      </c>
      <c r="B21" s="289" t="s">
        <v>70</v>
      </c>
      <c r="C21" s="290" t="s">
        <v>17</v>
      </c>
      <c r="D21" s="291" t="s">
        <v>18</v>
      </c>
      <c r="E21" s="300" t="s">
        <v>71</v>
      </c>
      <c r="F21" s="300"/>
      <c r="G21" s="302">
        <v>749.99</v>
      </c>
      <c r="H21" s="302">
        <v>15</v>
      </c>
      <c r="I21" s="294">
        <f t="shared" si="0"/>
        <v>764.99</v>
      </c>
      <c r="J21" s="295">
        <v>741.98</v>
      </c>
      <c r="K21" s="295">
        <v>14.84</v>
      </c>
      <c r="L21" s="296">
        <f t="shared" si="4"/>
        <v>756.82</v>
      </c>
      <c r="M21" s="297">
        <f t="shared" si="2"/>
        <v>-8.16999999999996</v>
      </c>
      <c r="N21" s="298">
        <f t="shared" si="3"/>
        <v>-0.0108934785797143</v>
      </c>
      <c r="O21" s="304" t="s">
        <v>65</v>
      </c>
      <c r="P21" s="50" t="s">
        <v>66</v>
      </c>
      <c r="Q21" s="23" t="s">
        <v>67</v>
      </c>
      <c r="S21" s="229" t="s">
        <v>23</v>
      </c>
    </row>
    <row r="22" ht="33" spans="1:19">
      <c r="A22" s="288">
        <v>20</v>
      </c>
      <c r="B22" s="289" t="s">
        <v>72</v>
      </c>
      <c r="C22" s="290" t="s">
        <v>17</v>
      </c>
      <c r="D22" s="291" t="s">
        <v>73</v>
      </c>
      <c r="E22" s="292" t="s">
        <v>74</v>
      </c>
      <c r="F22" s="292"/>
      <c r="G22" s="293">
        <v>533.02</v>
      </c>
      <c r="H22" s="293">
        <v>10.06</v>
      </c>
      <c r="I22" s="294">
        <f t="shared" si="0"/>
        <v>543.08</v>
      </c>
      <c r="J22" s="295">
        <v>462.45</v>
      </c>
      <c r="K22" s="295">
        <v>9.25</v>
      </c>
      <c r="L22" s="296">
        <f t="shared" si="4"/>
        <v>471.7</v>
      </c>
      <c r="M22" s="297">
        <f t="shared" si="2"/>
        <v>-71.3799999999999</v>
      </c>
      <c r="N22" s="298">
        <f t="shared" si="3"/>
        <v>-0.133916175753255</v>
      </c>
      <c r="O22" s="304" t="s">
        <v>65</v>
      </c>
      <c r="P22" s="50" t="s">
        <v>21</v>
      </c>
      <c r="Q22" s="23" t="s">
        <v>67</v>
      </c>
      <c r="S22" s="229" t="s">
        <v>23</v>
      </c>
    </row>
    <row r="23" ht="33" spans="1:19">
      <c r="A23" s="288">
        <v>21</v>
      </c>
      <c r="B23" s="289" t="s">
        <v>75</v>
      </c>
      <c r="C23" s="290" t="s">
        <v>17</v>
      </c>
      <c r="D23" s="291" t="s">
        <v>76</v>
      </c>
      <c r="E23" s="292" t="s">
        <v>77</v>
      </c>
      <c r="F23" s="292"/>
      <c r="G23" s="293">
        <v>186.95</v>
      </c>
      <c r="H23" s="293">
        <v>3.74</v>
      </c>
      <c r="I23" s="294">
        <f t="shared" si="0"/>
        <v>190.69</v>
      </c>
      <c r="J23" s="295">
        <v>186.95</v>
      </c>
      <c r="K23" s="295">
        <v>3.74</v>
      </c>
      <c r="L23" s="296">
        <f t="shared" si="4"/>
        <v>190.69</v>
      </c>
      <c r="M23" s="297">
        <f t="shared" si="2"/>
        <v>0</v>
      </c>
      <c r="N23" s="298">
        <f t="shared" si="3"/>
        <v>0</v>
      </c>
      <c r="O23" s="304" t="s">
        <v>65</v>
      </c>
      <c r="P23" s="50" t="s">
        <v>39</v>
      </c>
      <c r="Q23" s="23" t="s">
        <v>67</v>
      </c>
      <c r="S23" s="229" t="s">
        <v>23</v>
      </c>
    </row>
    <row r="24" ht="33" spans="1:19">
      <c r="A24" s="288">
        <v>22</v>
      </c>
      <c r="B24" s="289" t="s">
        <v>78</v>
      </c>
      <c r="C24" s="290" t="s">
        <v>17</v>
      </c>
      <c r="D24" s="291" t="s">
        <v>76</v>
      </c>
      <c r="E24" s="292" t="s">
        <v>77</v>
      </c>
      <c r="F24" s="292"/>
      <c r="G24" s="293">
        <v>204.85</v>
      </c>
      <c r="H24" s="302">
        <v>4.1</v>
      </c>
      <c r="I24" s="294">
        <f t="shared" si="0"/>
        <v>208.95</v>
      </c>
      <c r="J24" s="295">
        <v>204.85</v>
      </c>
      <c r="K24" s="295">
        <v>4.1</v>
      </c>
      <c r="L24" s="296">
        <f t="shared" si="4"/>
        <v>208.95</v>
      </c>
      <c r="M24" s="297">
        <f t="shared" si="2"/>
        <v>0</v>
      </c>
      <c r="N24" s="298">
        <f t="shared" si="3"/>
        <v>0</v>
      </c>
      <c r="O24" s="304" t="s">
        <v>65</v>
      </c>
      <c r="P24" s="50" t="s">
        <v>39</v>
      </c>
      <c r="Q24" s="23" t="s">
        <v>67</v>
      </c>
      <c r="S24" s="229" t="s">
        <v>23</v>
      </c>
    </row>
    <row r="25" ht="33" spans="1:19">
      <c r="A25" s="288">
        <v>23</v>
      </c>
      <c r="B25" s="289" t="s">
        <v>79</v>
      </c>
      <c r="C25" s="290" t="s">
        <v>17</v>
      </c>
      <c r="D25" s="291" t="s">
        <v>73</v>
      </c>
      <c r="E25" s="292" t="s">
        <v>80</v>
      </c>
      <c r="F25" s="292"/>
      <c r="G25" s="293">
        <v>810.19</v>
      </c>
      <c r="H25" s="293">
        <v>16.2</v>
      </c>
      <c r="I25" s="294">
        <f t="shared" si="0"/>
        <v>826.39</v>
      </c>
      <c r="J25" s="295">
        <v>794.59</v>
      </c>
      <c r="K25" s="295">
        <v>15.89</v>
      </c>
      <c r="L25" s="296">
        <f t="shared" si="4"/>
        <v>810.48</v>
      </c>
      <c r="M25" s="297">
        <f t="shared" si="2"/>
        <v>-15.9100000000001</v>
      </c>
      <c r="N25" s="298">
        <f t="shared" si="3"/>
        <v>-0.0196373690122071</v>
      </c>
      <c r="O25" s="304" t="s">
        <v>65</v>
      </c>
      <c r="P25" s="50" t="s">
        <v>66</v>
      </c>
      <c r="Q25" s="23" t="s">
        <v>67</v>
      </c>
      <c r="S25" s="229" t="s">
        <v>23</v>
      </c>
    </row>
    <row r="26" ht="115.5" spans="1:19">
      <c r="A26" s="288">
        <v>24</v>
      </c>
      <c r="B26" s="289" t="s">
        <v>81</v>
      </c>
      <c r="C26" s="290" t="s">
        <v>17</v>
      </c>
      <c r="D26" s="291" t="s">
        <v>18</v>
      </c>
      <c r="E26" s="292" t="s">
        <v>82</v>
      </c>
      <c r="F26" s="292"/>
      <c r="G26" s="293">
        <v>3560.98</v>
      </c>
      <c r="H26" s="306">
        <v>71.22</v>
      </c>
      <c r="I26" s="294">
        <f t="shared" si="0"/>
        <v>3632.2</v>
      </c>
      <c r="J26" s="295">
        <v>3483.6</v>
      </c>
      <c r="K26" s="295">
        <v>69.67</v>
      </c>
      <c r="L26" s="296">
        <f t="shared" si="4"/>
        <v>3553.27</v>
      </c>
      <c r="M26" s="297">
        <f t="shared" si="2"/>
        <v>-78.9299999999998</v>
      </c>
      <c r="N26" s="298">
        <f t="shared" si="3"/>
        <v>-0.0221652466455863</v>
      </c>
      <c r="O26" s="304" t="s">
        <v>65</v>
      </c>
      <c r="P26" s="50" t="s">
        <v>66</v>
      </c>
      <c r="Q26" s="23" t="s">
        <v>67</v>
      </c>
      <c r="S26" s="229" t="s">
        <v>23</v>
      </c>
    </row>
    <row r="27" ht="115.5" spans="1:19">
      <c r="A27" s="288">
        <v>25</v>
      </c>
      <c r="B27" s="289" t="s">
        <v>83</v>
      </c>
      <c r="C27" s="290" t="s">
        <v>17</v>
      </c>
      <c r="D27" s="291" t="s">
        <v>18</v>
      </c>
      <c r="E27" s="300" t="s">
        <v>84</v>
      </c>
      <c r="F27" s="300"/>
      <c r="G27" s="302">
        <v>3556.53</v>
      </c>
      <c r="H27" s="307">
        <v>71.13</v>
      </c>
      <c r="I27" s="294">
        <f t="shared" si="0"/>
        <v>3627.66</v>
      </c>
      <c r="J27" s="295">
        <v>3479.15</v>
      </c>
      <c r="K27" s="295">
        <v>69.58</v>
      </c>
      <c r="L27" s="296">
        <f t="shared" si="4"/>
        <v>3548.73</v>
      </c>
      <c r="M27" s="297">
        <f t="shared" si="2"/>
        <v>-78.9300000000003</v>
      </c>
      <c r="N27" s="298">
        <f t="shared" si="3"/>
        <v>-0.0221929802363541</v>
      </c>
      <c r="O27" s="304" t="s">
        <v>65</v>
      </c>
      <c r="P27" s="50" t="s">
        <v>66</v>
      </c>
      <c r="Q27" s="23" t="s">
        <v>67</v>
      </c>
      <c r="S27" s="229" t="s">
        <v>23</v>
      </c>
    </row>
    <row r="28" ht="132" spans="1:19">
      <c r="A28" s="288">
        <v>26</v>
      </c>
      <c r="B28" s="289" t="s">
        <v>85</v>
      </c>
      <c r="C28" s="290" t="s">
        <v>17</v>
      </c>
      <c r="D28" s="291" t="s">
        <v>18</v>
      </c>
      <c r="E28" s="300" t="s">
        <v>86</v>
      </c>
      <c r="F28" s="300"/>
      <c r="G28" s="293">
        <v>8768.92</v>
      </c>
      <c r="H28" s="293">
        <v>175.38</v>
      </c>
      <c r="I28" s="294">
        <f t="shared" si="0"/>
        <v>8944.3</v>
      </c>
      <c r="J28" s="295">
        <v>8768.92</v>
      </c>
      <c r="K28" s="295">
        <v>175.38</v>
      </c>
      <c r="L28" s="296">
        <f t="shared" si="4"/>
        <v>8944.3</v>
      </c>
      <c r="M28" s="297">
        <f t="shared" si="2"/>
        <v>0</v>
      </c>
      <c r="N28" s="298">
        <f t="shared" si="3"/>
        <v>0</v>
      </c>
      <c r="O28" s="304" t="s">
        <v>65</v>
      </c>
      <c r="P28" s="50" t="s">
        <v>39</v>
      </c>
      <c r="Q28" s="23" t="s">
        <v>67</v>
      </c>
      <c r="S28" s="229" t="s">
        <v>23</v>
      </c>
    </row>
    <row r="29" ht="82.5" spans="1:19">
      <c r="A29" s="288">
        <v>27</v>
      </c>
      <c r="B29" s="289" t="s">
        <v>87</v>
      </c>
      <c r="C29" s="290" t="s">
        <v>17</v>
      </c>
      <c r="D29" s="291" t="s">
        <v>18</v>
      </c>
      <c r="E29" s="292" t="s">
        <v>88</v>
      </c>
      <c r="F29" s="292"/>
      <c r="G29" s="305">
        <v>9331.83</v>
      </c>
      <c r="H29" s="308">
        <v>186.64</v>
      </c>
      <c r="I29" s="294">
        <f t="shared" si="0"/>
        <v>9518.47</v>
      </c>
      <c r="J29" s="295">
        <v>9331.83</v>
      </c>
      <c r="K29" s="295">
        <v>186.64</v>
      </c>
      <c r="L29" s="296">
        <f t="shared" si="4"/>
        <v>9518.47</v>
      </c>
      <c r="M29" s="297">
        <f t="shared" si="2"/>
        <v>0</v>
      </c>
      <c r="N29" s="298">
        <f t="shared" si="3"/>
        <v>0</v>
      </c>
      <c r="O29" s="304" t="s">
        <v>65</v>
      </c>
      <c r="P29" s="50" t="s">
        <v>39</v>
      </c>
      <c r="Q29" s="23" t="s">
        <v>89</v>
      </c>
      <c r="S29" s="229" t="s">
        <v>23</v>
      </c>
    </row>
    <row r="30" ht="49.5" spans="1:19">
      <c r="A30" s="288">
        <v>28</v>
      </c>
      <c r="B30" s="303" t="s">
        <v>90</v>
      </c>
      <c r="C30" s="290" t="s">
        <v>17</v>
      </c>
      <c r="D30" s="291" t="s">
        <v>18</v>
      </c>
      <c r="E30" s="292" t="s">
        <v>91</v>
      </c>
      <c r="F30" s="292"/>
      <c r="G30" s="305">
        <v>2009.81</v>
      </c>
      <c r="H30" s="309">
        <v>40.2</v>
      </c>
      <c r="I30" s="294">
        <f t="shared" si="0"/>
        <v>2050.01</v>
      </c>
      <c r="J30" s="295">
        <v>1887.23</v>
      </c>
      <c r="K30" s="295">
        <v>37.74</v>
      </c>
      <c r="L30" s="296">
        <f t="shared" si="4"/>
        <v>1924.97</v>
      </c>
      <c r="M30" s="297">
        <f t="shared" si="2"/>
        <v>-125.04</v>
      </c>
      <c r="N30" s="298">
        <f t="shared" si="3"/>
        <v>-0.0622148362283001</v>
      </c>
      <c r="O30" s="304" t="s">
        <v>65</v>
      </c>
      <c r="P30" s="50" t="s">
        <v>21</v>
      </c>
      <c r="Q30" s="23" t="s">
        <v>89</v>
      </c>
      <c r="S30" s="229" t="s">
        <v>23</v>
      </c>
    </row>
    <row r="31" ht="115.5" spans="1:19">
      <c r="A31" s="288">
        <v>29</v>
      </c>
      <c r="B31" s="303" t="s">
        <v>92</v>
      </c>
      <c r="C31" s="290" t="s">
        <v>17</v>
      </c>
      <c r="D31" s="291" t="s">
        <v>18</v>
      </c>
      <c r="E31" s="292" t="s">
        <v>93</v>
      </c>
      <c r="F31" s="292"/>
      <c r="G31" s="305">
        <v>1014.4</v>
      </c>
      <c r="H31" s="309">
        <v>20.29</v>
      </c>
      <c r="I31" s="294">
        <f t="shared" si="0"/>
        <v>1034.69</v>
      </c>
      <c r="J31" s="295">
        <v>978.14</v>
      </c>
      <c r="K31" s="295">
        <v>19.56</v>
      </c>
      <c r="L31" s="296">
        <f t="shared" si="4"/>
        <v>997.7</v>
      </c>
      <c r="M31" s="297">
        <f t="shared" si="2"/>
        <v>-36.9900000000001</v>
      </c>
      <c r="N31" s="298">
        <f t="shared" si="3"/>
        <v>-0.0364649053627761</v>
      </c>
      <c r="O31" s="304" t="s">
        <v>65</v>
      </c>
      <c r="P31" s="50" t="s">
        <v>94</v>
      </c>
      <c r="Q31" s="23" t="s">
        <v>89</v>
      </c>
      <c r="S31" s="229" t="s">
        <v>23</v>
      </c>
    </row>
    <row r="32" ht="49.5" spans="1:19">
      <c r="A32" s="288">
        <v>30</v>
      </c>
      <c r="B32" s="310" t="s">
        <v>95</v>
      </c>
      <c r="C32" s="299" t="s">
        <v>17</v>
      </c>
      <c r="D32" s="299" t="s">
        <v>73</v>
      </c>
      <c r="E32" s="300" t="s">
        <v>96</v>
      </c>
      <c r="F32" s="300"/>
      <c r="G32" s="305">
        <v>1118.29</v>
      </c>
      <c r="H32" s="309">
        <v>22.37</v>
      </c>
      <c r="I32" s="294">
        <f t="shared" si="0"/>
        <v>1140.66</v>
      </c>
      <c r="J32" s="295">
        <v>1118.29</v>
      </c>
      <c r="K32" s="295">
        <v>22.37</v>
      </c>
      <c r="L32" s="296">
        <f t="shared" si="4"/>
        <v>1140.66</v>
      </c>
      <c r="M32" s="297">
        <f t="shared" si="2"/>
        <v>0</v>
      </c>
      <c r="N32" s="298">
        <f t="shared" si="3"/>
        <v>0</v>
      </c>
      <c r="O32" s="304" t="s">
        <v>65</v>
      </c>
      <c r="P32" s="50" t="s">
        <v>39</v>
      </c>
      <c r="Q32" s="23" t="s">
        <v>89</v>
      </c>
      <c r="S32" s="229" t="s">
        <v>23</v>
      </c>
    </row>
    <row r="33" ht="49.5" spans="1:19">
      <c r="A33" s="288">
        <v>31</v>
      </c>
      <c r="B33" s="310" t="s">
        <v>97</v>
      </c>
      <c r="C33" s="299" t="s">
        <v>17</v>
      </c>
      <c r="D33" s="299" t="s">
        <v>18</v>
      </c>
      <c r="E33" s="300" t="s">
        <v>98</v>
      </c>
      <c r="F33" s="300"/>
      <c r="G33" s="305">
        <v>1437.64</v>
      </c>
      <c r="H33" s="309">
        <v>28.75</v>
      </c>
      <c r="I33" s="294">
        <f t="shared" si="0"/>
        <v>1466.39</v>
      </c>
      <c r="J33" s="295">
        <v>1229.07</v>
      </c>
      <c r="K33" s="295">
        <v>24.58</v>
      </c>
      <c r="L33" s="296">
        <f t="shared" si="4"/>
        <v>1253.65</v>
      </c>
      <c r="M33" s="297">
        <f t="shared" si="2"/>
        <v>-212.74</v>
      </c>
      <c r="N33" s="298">
        <f t="shared" si="3"/>
        <v>-0.147978631646309</v>
      </c>
      <c r="O33" s="304" t="s">
        <v>65</v>
      </c>
      <c r="P33" s="50" t="s">
        <v>99</v>
      </c>
      <c r="Q33" s="23" t="s">
        <v>89</v>
      </c>
      <c r="S33" s="229" t="s">
        <v>23</v>
      </c>
    </row>
    <row r="34" ht="49.5" spans="1:19">
      <c r="A34" s="288">
        <v>32</v>
      </c>
      <c r="B34" s="310" t="s">
        <v>100</v>
      </c>
      <c r="C34" s="299" t="s">
        <v>17</v>
      </c>
      <c r="D34" s="291" t="s">
        <v>18</v>
      </c>
      <c r="E34" s="292" t="s">
        <v>101</v>
      </c>
      <c r="F34" s="292"/>
      <c r="G34" s="305">
        <v>1217.41</v>
      </c>
      <c r="H34" s="309">
        <v>24.35</v>
      </c>
      <c r="I34" s="294">
        <f t="shared" si="0"/>
        <v>1241.76</v>
      </c>
      <c r="J34" s="295">
        <v>1161.23</v>
      </c>
      <c r="K34" s="295">
        <v>23.22</v>
      </c>
      <c r="L34" s="296">
        <f t="shared" si="4"/>
        <v>1184.45</v>
      </c>
      <c r="M34" s="297">
        <f t="shared" si="2"/>
        <v>-57.3099999999999</v>
      </c>
      <c r="N34" s="298">
        <f t="shared" si="3"/>
        <v>-0.0470753484857196</v>
      </c>
      <c r="O34" s="304" t="s">
        <v>65</v>
      </c>
      <c r="P34" s="50" t="s">
        <v>21</v>
      </c>
      <c r="Q34" s="23" t="s">
        <v>89</v>
      </c>
      <c r="S34" s="229" t="s">
        <v>23</v>
      </c>
    </row>
    <row r="35" ht="49.5" spans="1:19">
      <c r="A35" s="288">
        <v>33</v>
      </c>
      <c r="B35" s="289" t="s">
        <v>102</v>
      </c>
      <c r="C35" s="290" t="s">
        <v>17</v>
      </c>
      <c r="D35" s="299" t="s">
        <v>18</v>
      </c>
      <c r="E35" s="292" t="s">
        <v>103</v>
      </c>
      <c r="F35" s="292"/>
      <c r="G35" s="305">
        <v>4143.09</v>
      </c>
      <c r="H35" s="305">
        <v>82.86</v>
      </c>
      <c r="I35" s="294">
        <f t="shared" si="0"/>
        <v>4225.95</v>
      </c>
      <c r="J35" s="295">
        <v>4143.09</v>
      </c>
      <c r="K35" s="295">
        <v>82.86</v>
      </c>
      <c r="L35" s="296">
        <f t="shared" si="4"/>
        <v>4225.95</v>
      </c>
      <c r="M35" s="297">
        <f t="shared" si="2"/>
        <v>0</v>
      </c>
      <c r="N35" s="298">
        <f t="shared" si="3"/>
        <v>0</v>
      </c>
      <c r="O35" s="304" t="s">
        <v>65</v>
      </c>
      <c r="P35" s="50" t="s">
        <v>39</v>
      </c>
      <c r="Q35" s="23" t="s">
        <v>89</v>
      </c>
      <c r="S35" s="229" t="s">
        <v>23</v>
      </c>
    </row>
    <row r="36" ht="49.5" spans="1:19">
      <c r="A36" s="288">
        <v>34</v>
      </c>
      <c r="B36" s="289" t="s">
        <v>104</v>
      </c>
      <c r="C36" s="290" t="s">
        <v>17</v>
      </c>
      <c r="D36" s="291" t="s">
        <v>55</v>
      </c>
      <c r="E36" s="292" t="s">
        <v>105</v>
      </c>
      <c r="F36" s="292"/>
      <c r="G36" s="293">
        <v>657.26</v>
      </c>
      <c r="H36" s="306">
        <v>13.15</v>
      </c>
      <c r="I36" s="294">
        <f t="shared" si="0"/>
        <v>670.41</v>
      </c>
      <c r="J36" s="295">
        <v>637.25</v>
      </c>
      <c r="K36" s="295">
        <v>12.74</v>
      </c>
      <c r="L36" s="296">
        <f t="shared" si="4"/>
        <v>649.99</v>
      </c>
      <c r="M36" s="297">
        <f t="shared" si="2"/>
        <v>-20.42</v>
      </c>
      <c r="N36" s="298">
        <f t="shared" si="3"/>
        <v>-0.0310683747679761</v>
      </c>
      <c r="O36" s="304" t="s">
        <v>65</v>
      </c>
      <c r="P36" s="50" t="s">
        <v>94</v>
      </c>
      <c r="Q36" s="23" t="s">
        <v>106</v>
      </c>
      <c r="S36" s="229" t="s">
        <v>23</v>
      </c>
    </row>
    <row r="37" ht="49.5" spans="1:19">
      <c r="A37" s="288">
        <v>35</v>
      </c>
      <c r="B37" s="289" t="s">
        <v>107</v>
      </c>
      <c r="C37" s="290" t="s">
        <v>17</v>
      </c>
      <c r="D37" s="291" t="s">
        <v>55</v>
      </c>
      <c r="E37" s="300" t="s">
        <v>108</v>
      </c>
      <c r="F37" s="300"/>
      <c r="G37" s="293">
        <v>1579.28</v>
      </c>
      <c r="H37" s="293">
        <v>31.59</v>
      </c>
      <c r="I37" s="294">
        <f t="shared" si="0"/>
        <v>1610.87</v>
      </c>
      <c r="J37" s="295">
        <v>1579.28</v>
      </c>
      <c r="K37" s="295">
        <v>31.59</v>
      </c>
      <c r="L37" s="296">
        <f t="shared" si="4"/>
        <v>1610.87</v>
      </c>
      <c r="M37" s="297">
        <f t="shared" si="2"/>
        <v>0</v>
      </c>
      <c r="N37" s="298">
        <f t="shared" si="3"/>
        <v>0</v>
      </c>
      <c r="O37" s="304" t="s">
        <v>65</v>
      </c>
      <c r="P37" s="50" t="s">
        <v>39</v>
      </c>
      <c r="Q37" s="23" t="s">
        <v>106</v>
      </c>
      <c r="S37" s="229" t="s">
        <v>23</v>
      </c>
    </row>
    <row r="38" ht="49.5" spans="1:19">
      <c r="A38" s="288">
        <v>36</v>
      </c>
      <c r="B38" s="289" t="s">
        <v>109</v>
      </c>
      <c r="C38" s="290" t="s">
        <v>17</v>
      </c>
      <c r="D38" s="291" t="s">
        <v>43</v>
      </c>
      <c r="E38" s="292" t="s">
        <v>110</v>
      </c>
      <c r="F38" s="292"/>
      <c r="G38" s="293">
        <v>606.81</v>
      </c>
      <c r="H38" s="306">
        <v>12.14</v>
      </c>
      <c r="I38" s="294">
        <f t="shared" si="0"/>
        <v>618.95</v>
      </c>
      <c r="J38" s="295">
        <v>606.81</v>
      </c>
      <c r="K38" s="295">
        <v>12.14</v>
      </c>
      <c r="L38" s="296">
        <f t="shared" si="4"/>
        <v>618.95</v>
      </c>
      <c r="M38" s="297">
        <f t="shared" si="2"/>
        <v>0</v>
      </c>
      <c r="N38" s="298">
        <f t="shared" si="3"/>
        <v>0</v>
      </c>
      <c r="O38" s="304" t="s">
        <v>65</v>
      </c>
      <c r="P38" s="50" t="s">
        <v>39</v>
      </c>
      <c r="Q38" s="23" t="s">
        <v>106</v>
      </c>
      <c r="S38" s="229" t="s">
        <v>23</v>
      </c>
    </row>
    <row r="39" ht="33" spans="1:19">
      <c r="A39" s="288">
        <v>37</v>
      </c>
      <c r="B39" s="289" t="s">
        <v>111</v>
      </c>
      <c r="C39" s="290" t="s">
        <v>17</v>
      </c>
      <c r="D39" s="291" t="s">
        <v>18</v>
      </c>
      <c r="E39" s="292" t="s">
        <v>112</v>
      </c>
      <c r="F39" s="292"/>
      <c r="G39" s="305">
        <v>631.33</v>
      </c>
      <c r="H39" s="293">
        <v>12.63</v>
      </c>
      <c r="I39" s="294">
        <f t="shared" si="0"/>
        <v>643.96</v>
      </c>
      <c r="J39" s="295">
        <v>631.33</v>
      </c>
      <c r="K39" s="295">
        <v>12.63</v>
      </c>
      <c r="L39" s="296">
        <f t="shared" si="4"/>
        <v>643.96</v>
      </c>
      <c r="M39" s="297">
        <f t="shared" si="2"/>
        <v>0</v>
      </c>
      <c r="N39" s="298">
        <f t="shared" si="3"/>
        <v>0</v>
      </c>
      <c r="O39" s="304" t="s">
        <v>65</v>
      </c>
      <c r="P39" s="50" t="s">
        <v>39</v>
      </c>
      <c r="Q39" s="23" t="s">
        <v>106</v>
      </c>
      <c r="S39" s="229" t="s">
        <v>23</v>
      </c>
    </row>
    <row r="40" ht="66" spans="1:19">
      <c r="A40" s="288">
        <v>38</v>
      </c>
      <c r="B40" s="289" t="s">
        <v>113</v>
      </c>
      <c r="C40" s="290" t="s">
        <v>17</v>
      </c>
      <c r="D40" s="291" t="s">
        <v>43</v>
      </c>
      <c r="E40" s="292" t="s">
        <v>114</v>
      </c>
      <c r="F40" s="292"/>
      <c r="G40" s="293">
        <v>2812.84</v>
      </c>
      <c r="H40" s="293">
        <v>56.26</v>
      </c>
      <c r="I40" s="294">
        <f t="shared" si="0"/>
        <v>2869.1</v>
      </c>
      <c r="J40" s="295">
        <v>2424.11</v>
      </c>
      <c r="K40" s="295">
        <v>48.48</v>
      </c>
      <c r="L40" s="296">
        <f t="shared" si="4"/>
        <v>2472.59</v>
      </c>
      <c r="M40" s="297">
        <f t="shared" si="2"/>
        <v>-396.51</v>
      </c>
      <c r="N40" s="298">
        <f t="shared" si="3"/>
        <v>-0.140964292316662</v>
      </c>
      <c r="O40" s="304" t="s">
        <v>65</v>
      </c>
      <c r="P40" s="50" t="s">
        <v>21</v>
      </c>
      <c r="Q40" s="23" t="s">
        <v>106</v>
      </c>
      <c r="S40" s="229" t="s">
        <v>23</v>
      </c>
    </row>
    <row r="41" ht="49.5" spans="1:19">
      <c r="A41" s="288">
        <v>39</v>
      </c>
      <c r="B41" s="310" t="s">
        <v>115</v>
      </c>
      <c r="C41" s="299" t="s">
        <v>17</v>
      </c>
      <c r="D41" s="291" t="s">
        <v>18</v>
      </c>
      <c r="E41" s="292" t="s">
        <v>116</v>
      </c>
      <c r="F41" s="292"/>
      <c r="G41" s="293">
        <v>1218.82</v>
      </c>
      <c r="H41" s="293">
        <v>24.38</v>
      </c>
      <c r="I41" s="294">
        <f t="shared" si="0"/>
        <v>1243.2</v>
      </c>
      <c r="J41" s="295">
        <v>1217.62</v>
      </c>
      <c r="K41" s="295">
        <v>24.35</v>
      </c>
      <c r="L41" s="296">
        <f t="shared" si="4"/>
        <v>1241.97</v>
      </c>
      <c r="M41" s="297">
        <f t="shared" si="2"/>
        <v>-1.23000000000025</v>
      </c>
      <c r="N41" s="298">
        <f t="shared" si="3"/>
        <v>-0.00100917280648516</v>
      </c>
      <c r="O41" s="304" t="s">
        <v>65</v>
      </c>
      <c r="P41" s="50" t="s">
        <v>94</v>
      </c>
      <c r="Q41" s="23" t="s">
        <v>106</v>
      </c>
      <c r="S41" s="229" t="s">
        <v>23</v>
      </c>
    </row>
    <row r="42" ht="82.5" spans="1:19">
      <c r="A42" s="288">
        <v>40</v>
      </c>
      <c r="B42" s="289" t="s">
        <v>117</v>
      </c>
      <c r="C42" s="290" t="s">
        <v>17</v>
      </c>
      <c r="D42" s="291" t="s">
        <v>37</v>
      </c>
      <c r="E42" s="292" t="s">
        <v>118</v>
      </c>
      <c r="F42" s="292"/>
      <c r="G42" s="293">
        <v>536.7</v>
      </c>
      <c r="H42" s="293">
        <v>10.73</v>
      </c>
      <c r="I42" s="294">
        <f t="shared" si="0"/>
        <v>547.43</v>
      </c>
      <c r="J42" s="295">
        <v>534.45</v>
      </c>
      <c r="K42" s="295">
        <v>10.69</v>
      </c>
      <c r="L42" s="296">
        <f t="shared" si="4"/>
        <v>545.14</v>
      </c>
      <c r="M42" s="297">
        <f t="shared" si="2"/>
        <v>-2.28999999999996</v>
      </c>
      <c r="N42" s="298">
        <f t="shared" si="3"/>
        <v>-0.00426681572573125</v>
      </c>
      <c r="O42" s="304" t="s">
        <v>65</v>
      </c>
      <c r="P42" s="50" t="s">
        <v>94</v>
      </c>
      <c r="Q42" s="23" t="s">
        <v>106</v>
      </c>
      <c r="S42" s="229" t="s">
        <v>23</v>
      </c>
    </row>
    <row r="43" ht="33" spans="1:19">
      <c r="A43" s="288">
        <v>41</v>
      </c>
      <c r="B43" s="311" t="s">
        <v>119</v>
      </c>
      <c r="C43" s="288" t="s">
        <v>17</v>
      </c>
      <c r="D43" s="288" t="s">
        <v>18</v>
      </c>
      <c r="E43" s="311" t="s">
        <v>120</v>
      </c>
      <c r="F43" s="311"/>
      <c r="G43" s="309">
        <v>420.89</v>
      </c>
      <c r="H43" s="309">
        <v>8.42</v>
      </c>
      <c r="I43" s="294">
        <f t="shared" si="0"/>
        <v>429.31</v>
      </c>
      <c r="J43" s="295">
        <v>420.89</v>
      </c>
      <c r="K43" s="295">
        <v>8.42</v>
      </c>
      <c r="L43" s="296">
        <f t="shared" si="4"/>
        <v>429.31</v>
      </c>
      <c r="M43" s="297">
        <f t="shared" si="2"/>
        <v>0</v>
      </c>
      <c r="N43" s="298">
        <f t="shared" si="3"/>
        <v>0</v>
      </c>
      <c r="O43" s="304" t="s">
        <v>65</v>
      </c>
      <c r="P43" s="50" t="s">
        <v>39</v>
      </c>
      <c r="Q43" s="23" t="s">
        <v>106</v>
      </c>
      <c r="S43" s="229" t="s">
        <v>23</v>
      </c>
    </row>
    <row r="44" ht="33" spans="1:19">
      <c r="A44" s="288">
        <v>42</v>
      </c>
      <c r="B44" s="311" t="s">
        <v>121</v>
      </c>
      <c r="C44" s="288" t="s">
        <v>17</v>
      </c>
      <c r="D44" s="288" t="s">
        <v>18</v>
      </c>
      <c r="E44" s="311" t="s">
        <v>122</v>
      </c>
      <c r="F44" s="311"/>
      <c r="G44" s="309">
        <v>474.99</v>
      </c>
      <c r="H44" s="309">
        <v>9.5</v>
      </c>
      <c r="I44" s="294">
        <f t="shared" si="0"/>
        <v>484.49</v>
      </c>
      <c r="J44" s="295">
        <v>468.21</v>
      </c>
      <c r="K44" s="295">
        <v>9.36</v>
      </c>
      <c r="L44" s="296">
        <f t="shared" si="4"/>
        <v>477.57</v>
      </c>
      <c r="M44" s="297">
        <f t="shared" si="2"/>
        <v>-6.92000000000002</v>
      </c>
      <c r="N44" s="298">
        <f t="shared" si="3"/>
        <v>-0.0145687277626898</v>
      </c>
      <c r="O44" s="304" t="s">
        <v>65</v>
      </c>
      <c r="P44" s="50" t="s">
        <v>66</v>
      </c>
      <c r="Q44" s="23" t="s">
        <v>106</v>
      </c>
      <c r="S44" s="229" t="s">
        <v>23</v>
      </c>
    </row>
    <row r="45" ht="33" spans="1:19">
      <c r="A45" s="288">
        <v>43</v>
      </c>
      <c r="B45" s="311" t="s">
        <v>123</v>
      </c>
      <c r="C45" s="288" t="s">
        <v>17</v>
      </c>
      <c r="D45" s="288" t="s">
        <v>55</v>
      </c>
      <c r="E45" s="311" t="s">
        <v>124</v>
      </c>
      <c r="F45" s="311"/>
      <c r="G45" s="302">
        <v>1050.56</v>
      </c>
      <c r="H45" s="302">
        <v>21.01</v>
      </c>
      <c r="I45" s="294">
        <f t="shared" si="0"/>
        <v>1071.57</v>
      </c>
      <c r="J45" s="295">
        <v>1024.4</v>
      </c>
      <c r="K45" s="295">
        <v>20.49</v>
      </c>
      <c r="L45" s="296">
        <f t="shared" si="4"/>
        <v>1044.89</v>
      </c>
      <c r="M45" s="297">
        <f t="shared" si="2"/>
        <v>-26.6799999999998</v>
      </c>
      <c r="N45" s="298">
        <f t="shared" si="3"/>
        <v>-0.0253959792872371</v>
      </c>
      <c r="O45" s="304" t="s">
        <v>20</v>
      </c>
      <c r="P45" s="50" t="s">
        <v>66</v>
      </c>
      <c r="Q45" s="23" t="s">
        <v>22</v>
      </c>
      <c r="S45" s="229" t="s">
        <v>23</v>
      </c>
    </row>
    <row r="46" ht="16.5" spans="1:19">
      <c r="A46" s="288">
        <v>44</v>
      </c>
      <c r="B46" s="311" t="s">
        <v>125</v>
      </c>
      <c r="C46" s="288" t="s">
        <v>17</v>
      </c>
      <c r="D46" s="288" t="s">
        <v>55</v>
      </c>
      <c r="E46" s="311" t="s">
        <v>126</v>
      </c>
      <c r="F46" s="311"/>
      <c r="G46" s="302">
        <v>1347.62</v>
      </c>
      <c r="H46" s="302">
        <v>26.95</v>
      </c>
      <c r="I46" s="294">
        <f t="shared" si="0"/>
        <v>1374.57</v>
      </c>
      <c r="J46" s="295">
        <v>1347.62</v>
      </c>
      <c r="K46" s="295">
        <v>26.95</v>
      </c>
      <c r="L46" s="296">
        <f t="shared" si="4"/>
        <v>1374.57</v>
      </c>
      <c r="M46" s="297">
        <f t="shared" si="2"/>
        <v>0</v>
      </c>
      <c r="N46" s="298">
        <f t="shared" si="3"/>
        <v>0</v>
      </c>
      <c r="O46" s="304" t="s">
        <v>20</v>
      </c>
      <c r="P46" s="50" t="s">
        <v>39</v>
      </c>
      <c r="Q46" s="23" t="s">
        <v>22</v>
      </c>
      <c r="S46" s="229" t="s">
        <v>23</v>
      </c>
    </row>
    <row r="47" ht="16.5" spans="1:19">
      <c r="A47" s="288">
        <v>45</v>
      </c>
      <c r="B47" s="311" t="s">
        <v>127</v>
      </c>
      <c r="C47" s="288" t="s">
        <v>17</v>
      </c>
      <c r="D47" s="288" t="s">
        <v>55</v>
      </c>
      <c r="E47" s="311" t="s">
        <v>128</v>
      </c>
      <c r="F47" s="311"/>
      <c r="G47" s="302">
        <v>641.51</v>
      </c>
      <c r="H47" s="302">
        <v>12.83</v>
      </c>
      <c r="I47" s="294">
        <f t="shared" si="0"/>
        <v>654.34</v>
      </c>
      <c r="J47" s="295">
        <v>641.51</v>
      </c>
      <c r="K47" s="295">
        <v>12.83</v>
      </c>
      <c r="L47" s="296">
        <f t="shared" si="4"/>
        <v>654.34</v>
      </c>
      <c r="M47" s="297">
        <f t="shared" si="2"/>
        <v>0</v>
      </c>
      <c r="N47" s="298">
        <f t="shared" si="3"/>
        <v>0</v>
      </c>
      <c r="O47" s="304" t="s">
        <v>20</v>
      </c>
      <c r="P47" s="50" t="s">
        <v>39</v>
      </c>
      <c r="Q47" s="23" t="s">
        <v>22</v>
      </c>
      <c r="S47" s="229" t="s">
        <v>23</v>
      </c>
    </row>
    <row r="48" ht="33" spans="1:19">
      <c r="A48" s="288">
        <v>46</v>
      </c>
      <c r="B48" s="311" t="s">
        <v>129</v>
      </c>
      <c r="C48" s="288" t="s">
        <v>17</v>
      </c>
      <c r="D48" s="288" t="s">
        <v>73</v>
      </c>
      <c r="E48" s="311" t="s">
        <v>130</v>
      </c>
      <c r="F48" s="311"/>
      <c r="G48" s="309">
        <v>504.18</v>
      </c>
      <c r="H48" s="309">
        <v>10.08</v>
      </c>
      <c r="I48" s="294">
        <f t="shared" si="0"/>
        <v>514.26</v>
      </c>
      <c r="J48" s="295">
        <v>504.18</v>
      </c>
      <c r="K48" s="295">
        <v>10.08</v>
      </c>
      <c r="L48" s="296">
        <f t="shared" si="4"/>
        <v>514.26</v>
      </c>
      <c r="M48" s="297">
        <f t="shared" si="2"/>
        <v>0</v>
      </c>
      <c r="N48" s="298">
        <f t="shared" si="3"/>
        <v>0</v>
      </c>
      <c r="O48" s="304" t="s">
        <v>65</v>
      </c>
      <c r="P48" s="50" t="s">
        <v>39</v>
      </c>
      <c r="Q48" s="23" t="s">
        <v>67</v>
      </c>
      <c r="S48" s="229" t="s">
        <v>23</v>
      </c>
    </row>
    <row r="49" ht="33" spans="1:20">
      <c r="A49" s="288">
        <v>47</v>
      </c>
      <c r="B49" s="311" t="s">
        <v>131</v>
      </c>
      <c r="C49" s="288" t="s">
        <v>17</v>
      </c>
      <c r="D49" s="288" t="s">
        <v>76</v>
      </c>
      <c r="E49" s="311" t="s">
        <v>132</v>
      </c>
      <c r="F49" s="311"/>
      <c r="G49" s="309">
        <v>16.71</v>
      </c>
      <c r="H49" s="309">
        <v>0.33</v>
      </c>
      <c r="I49" s="294">
        <f t="shared" si="0"/>
        <v>17.04</v>
      </c>
      <c r="J49" s="295">
        <v>13.62</v>
      </c>
      <c r="K49" s="295">
        <v>0.27</v>
      </c>
      <c r="L49" s="296">
        <f t="shared" si="4"/>
        <v>13.89</v>
      </c>
      <c r="M49" s="297">
        <f t="shared" si="2"/>
        <v>-3.15</v>
      </c>
      <c r="N49" s="298">
        <f t="shared" si="3"/>
        <v>-0.18850987432675</v>
      </c>
      <c r="O49" s="304" t="s">
        <v>65</v>
      </c>
      <c r="P49" s="50" t="s">
        <v>66</v>
      </c>
      <c r="Q49" s="23" t="s">
        <v>67</v>
      </c>
      <c r="S49" s="229" t="s">
        <v>23</v>
      </c>
    </row>
    <row r="50" ht="33" spans="1:20">
      <c r="A50" s="288">
        <v>48</v>
      </c>
      <c r="B50" s="311" t="s">
        <v>133</v>
      </c>
      <c r="C50" s="288" t="s">
        <v>17</v>
      </c>
      <c r="D50" s="288" t="s">
        <v>76</v>
      </c>
      <c r="E50" s="311" t="s">
        <v>134</v>
      </c>
      <c r="F50" s="311"/>
      <c r="G50" s="309">
        <v>4.4</v>
      </c>
      <c r="H50" s="309">
        <v>0.09</v>
      </c>
      <c r="I50" s="294">
        <f t="shared" si="0"/>
        <v>4.49</v>
      </c>
      <c r="J50" s="295">
        <v>4.4</v>
      </c>
      <c r="K50" s="295">
        <v>0.09</v>
      </c>
      <c r="L50" s="296">
        <f t="shared" si="4"/>
        <v>4.49</v>
      </c>
      <c r="M50" s="297">
        <f t="shared" si="2"/>
        <v>0</v>
      </c>
      <c r="N50" s="298">
        <f t="shared" si="3"/>
        <v>0</v>
      </c>
      <c r="O50" s="304" t="s">
        <v>65</v>
      </c>
      <c r="P50" s="50" t="s">
        <v>39</v>
      </c>
      <c r="Q50" s="23" t="s">
        <v>67</v>
      </c>
      <c r="S50" s="229" t="s">
        <v>23</v>
      </c>
    </row>
    <row r="51" ht="33" spans="1:20">
      <c r="A51" s="288">
        <v>49</v>
      </c>
      <c r="B51" s="311" t="s">
        <v>135</v>
      </c>
      <c r="C51" s="288" t="s">
        <v>17</v>
      </c>
      <c r="D51" s="288" t="s">
        <v>76</v>
      </c>
      <c r="E51" s="311" t="s">
        <v>136</v>
      </c>
      <c r="F51" s="311"/>
      <c r="G51" s="309">
        <v>8.77</v>
      </c>
      <c r="H51" s="309">
        <v>0.18</v>
      </c>
      <c r="I51" s="294">
        <f t="shared" si="0"/>
        <v>8.95</v>
      </c>
      <c r="J51" s="295">
        <v>8.77</v>
      </c>
      <c r="K51" s="295">
        <v>0.18</v>
      </c>
      <c r="L51" s="296">
        <f t="shared" si="4"/>
        <v>8.95</v>
      </c>
      <c r="M51" s="297">
        <f t="shared" si="2"/>
        <v>0</v>
      </c>
      <c r="N51" s="298">
        <f t="shared" si="3"/>
        <v>0</v>
      </c>
      <c r="O51" s="304" t="s">
        <v>65</v>
      </c>
      <c r="P51" s="50" t="s">
        <v>39</v>
      </c>
      <c r="Q51" s="23" t="s">
        <v>89</v>
      </c>
      <c r="S51" s="229" t="s">
        <v>23</v>
      </c>
    </row>
    <row r="52" ht="33" spans="1:20">
      <c r="A52" s="288">
        <v>50</v>
      </c>
      <c r="B52" s="311" t="s">
        <v>137</v>
      </c>
      <c r="C52" s="288" t="s">
        <v>17</v>
      </c>
      <c r="D52" s="288" t="s">
        <v>76</v>
      </c>
      <c r="E52" s="311" t="s">
        <v>138</v>
      </c>
      <c r="F52" s="311"/>
      <c r="G52" s="309">
        <v>10.83</v>
      </c>
      <c r="H52" s="309">
        <v>0.22</v>
      </c>
      <c r="I52" s="294">
        <f t="shared" si="0"/>
        <v>11.05</v>
      </c>
      <c r="J52" s="295">
        <v>10.83</v>
      </c>
      <c r="K52" s="295">
        <v>0.22</v>
      </c>
      <c r="L52" s="296">
        <f t="shared" si="4"/>
        <v>11.05</v>
      </c>
      <c r="M52" s="297">
        <f t="shared" si="2"/>
        <v>0</v>
      </c>
      <c r="N52" s="298">
        <f t="shared" si="3"/>
        <v>0</v>
      </c>
      <c r="O52" s="304" t="s">
        <v>65</v>
      </c>
      <c r="P52" s="50" t="s">
        <v>39</v>
      </c>
      <c r="Q52" s="23" t="s">
        <v>89</v>
      </c>
      <c r="S52" s="229" t="s">
        <v>23</v>
      </c>
    </row>
    <row r="53" ht="16.5" spans="1:20">
      <c r="A53" s="288">
        <v>51</v>
      </c>
      <c r="B53" s="311" t="s">
        <v>139</v>
      </c>
      <c r="C53" s="288" t="s">
        <v>17</v>
      </c>
      <c r="D53" s="288" t="s">
        <v>140</v>
      </c>
      <c r="E53" s="311" t="s">
        <v>141</v>
      </c>
      <c r="F53" s="311"/>
      <c r="G53" s="309">
        <v>5.43</v>
      </c>
      <c r="H53" s="309">
        <v>0.11</v>
      </c>
      <c r="I53" s="294">
        <f t="shared" si="0"/>
        <v>5.54</v>
      </c>
      <c r="J53" s="295">
        <v>5.43</v>
      </c>
      <c r="K53" s="295">
        <v>0.11</v>
      </c>
      <c r="L53" s="296">
        <f t="shared" si="4"/>
        <v>5.54</v>
      </c>
      <c r="M53" s="297">
        <f t="shared" si="2"/>
        <v>0</v>
      </c>
      <c r="N53" s="298">
        <f t="shared" si="3"/>
        <v>0</v>
      </c>
      <c r="O53" s="304" t="s">
        <v>65</v>
      </c>
      <c r="P53" s="50" t="s">
        <v>39</v>
      </c>
      <c r="Q53" s="23" t="s">
        <v>89</v>
      </c>
      <c r="S53" s="229" t="s">
        <v>23</v>
      </c>
    </row>
    <row r="54" ht="82.5" spans="1:20">
      <c r="A54" s="288">
        <v>52</v>
      </c>
      <c r="B54" s="300" t="s">
        <v>142</v>
      </c>
      <c r="C54" s="290" t="s">
        <v>17</v>
      </c>
      <c r="D54" s="291" t="s">
        <v>18</v>
      </c>
      <c r="E54" s="300" t="s">
        <v>143</v>
      </c>
      <c r="F54" s="300" t="s">
        <v>144</v>
      </c>
      <c r="G54" s="293">
        <v>682.05</v>
      </c>
      <c r="H54" s="293">
        <v>13.64</v>
      </c>
      <c r="I54" s="294">
        <f t="shared" ref="I54:I56" si="5">H54+G54</f>
        <v>695.69</v>
      </c>
      <c r="J54" s="312">
        <f t="shared" ref="J54:J56" si="6">ROUND(L54/1.02,2)</f>
        <v>522.19</v>
      </c>
      <c r="K54" s="312">
        <f t="shared" ref="K54:K56" si="7">L54-J54</f>
        <v>10.4399999999999</v>
      </c>
      <c r="L54" s="296">
        <v>532.63</v>
      </c>
      <c r="M54" s="297">
        <f t="shared" si="2"/>
        <v>-163.06</v>
      </c>
      <c r="N54" s="298">
        <f t="shared" ref="N54:N56" si="8">M54/I54</f>
        <v>-0.234386005260964</v>
      </c>
      <c r="O54" s="50"/>
      <c r="P54" s="50" t="s">
        <v>145</v>
      </c>
      <c r="S54" s="313" t="s">
        <v>146</v>
      </c>
      <c r="T54" s="314"/>
    </row>
    <row r="55" ht="82.5" spans="1:20">
      <c r="A55" s="288">
        <v>53</v>
      </c>
      <c r="B55" s="300" t="s">
        <v>147</v>
      </c>
      <c r="C55" s="290" t="s">
        <v>17</v>
      </c>
      <c r="D55" s="291" t="s">
        <v>18</v>
      </c>
      <c r="E55" s="292" t="s">
        <v>148</v>
      </c>
      <c r="F55" s="300" t="s">
        <v>149</v>
      </c>
      <c r="G55" s="315">
        <v>1401.51</v>
      </c>
      <c r="H55" s="315">
        <v>28.03</v>
      </c>
      <c r="I55" s="294">
        <f t="shared" si="5"/>
        <v>1429.54</v>
      </c>
      <c r="J55" s="312">
        <f t="shared" si="6"/>
        <v>1001.79</v>
      </c>
      <c r="K55" s="312">
        <f t="shared" si="7"/>
        <v>20.0400000000001</v>
      </c>
      <c r="L55" s="296">
        <v>1021.83</v>
      </c>
      <c r="M55" s="297">
        <f t="shared" si="2"/>
        <v>-407.71</v>
      </c>
      <c r="N55" s="298">
        <f t="shared" si="8"/>
        <v>-0.285203631937546</v>
      </c>
      <c r="O55" s="50"/>
      <c r="P55" s="50" t="s">
        <v>145</v>
      </c>
      <c r="S55" s="313" t="s">
        <v>146</v>
      </c>
      <c r="T55" s="314"/>
    </row>
    <row r="56" ht="82.5" spans="1:20">
      <c r="A56" s="288">
        <v>54</v>
      </c>
      <c r="B56" s="300" t="s">
        <v>150</v>
      </c>
      <c r="C56" s="290" t="s">
        <v>17</v>
      </c>
      <c r="D56" s="291" t="s">
        <v>18</v>
      </c>
      <c r="E56" s="292" t="s">
        <v>151</v>
      </c>
      <c r="F56" s="300" t="s">
        <v>152</v>
      </c>
      <c r="G56" s="315">
        <v>2600.55</v>
      </c>
      <c r="H56" s="315">
        <v>52.01</v>
      </c>
      <c r="I56" s="294">
        <f t="shared" si="5"/>
        <v>2652.56</v>
      </c>
      <c r="J56" s="312">
        <f t="shared" si="6"/>
        <v>1801.18</v>
      </c>
      <c r="K56" s="312">
        <f t="shared" si="7"/>
        <v>36.02</v>
      </c>
      <c r="L56" s="296">
        <v>1837.2</v>
      </c>
      <c r="M56" s="297">
        <f t="shared" si="2"/>
        <v>-815.36</v>
      </c>
      <c r="N56" s="298">
        <f t="shared" si="8"/>
        <v>-0.307386072322587</v>
      </c>
      <c r="O56" s="50"/>
      <c r="P56" s="50" t="s">
        <v>145</v>
      </c>
      <c r="S56" s="313" t="s">
        <v>146</v>
      </c>
      <c r="T56" s="314"/>
    </row>
  </sheetData>
  <autoFilter xmlns:etc="http://www.wps.cn/officeDocument/2017/etCustomData" ref="A2:Q56" etc:filterBottomFollowUsedRange="0">
    <extLst/>
  </autoFilter>
  <mergeCells count="8">
    <mergeCell ref="G1:I1"/>
    <mergeCell ref="J1:L1"/>
    <mergeCell ref="A1:A2"/>
    <mergeCell ref="B1:B2"/>
    <mergeCell ref="C1:C2"/>
    <mergeCell ref="D1:D2"/>
    <mergeCell ref="E1:E2"/>
    <mergeCell ref="F1:F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4"/>
  <sheetViews>
    <sheetView zoomScale="60" zoomScaleNormal="60" workbookViewId="0">
      <pane xSplit="6" ySplit="3" topLeftCell="G26" activePane="bottomRight" state="frozen"/>
      <selection/>
      <selection pane="topRight"/>
      <selection pane="bottomLeft"/>
      <selection pane="bottomRight" activeCell="D28" sqref="D28"/>
    </sheetView>
  </sheetViews>
  <sheetFormatPr defaultColWidth="8.75" defaultRowHeight="24.75"/>
  <cols>
    <col min="1" max="1" width="8" style="229" customWidth="1"/>
    <col min="2" max="2" width="14.8833333333333" style="229" customWidth="1"/>
    <col min="3" max="3" width="14.5" style="229" customWidth="1"/>
    <col min="4" max="4" width="33" style="229" customWidth="1"/>
    <col min="5" max="5" width="12" style="230" customWidth="1"/>
    <col min="6" max="6" width="57.25" style="231" customWidth="1"/>
    <col min="7" max="7" width="53.1333333333333" style="232" customWidth="1"/>
    <col min="8" max="8" width="14.5" style="233" customWidth="1"/>
    <col min="9" max="10" width="14.6333333333333" style="233" customWidth="1"/>
    <col min="11" max="11" width="14.5" style="233" customWidth="1"/>
    <col min="12" max="14" width="14.6333333333333" style="233" customWidth="1"/>
    <col min="15" max="15" width="26.5" style="233" customWidth="1"/>
    <col min="16" max="16" width="8.75" style="229"/>
    <col min="17" max="17" width="14" style="234" customWidth="1"/>
    <col min="18" max="18" width="49" style="234" customWidth="1"/>
    <col min="19" max="16384" width="8.75" style="229"/>
  </cols>
  <sheetData>
    <row r="1" s="227" customFormat="1" ht="35.1" customHeight="1" spans="1:18">
      <c r="A1" s="235" t="s">
        <v>153</v>
      </c>
      <c r="B1" s="235"/>
      <c r="C1" s="235"/>
      <c r="D1" s="235"/>
      <c r="E1" s="235"/>
      <c r="F1" s="235"/>
      <c r="G1" s="235"/>
      <c r="H1" s="235"/>
      <c r="I1" s="235"/>
      <c r="J1" s="235"/>
      <c r="K1" s="235"/>
      <c r="L1" s="235"/>
      <c r="M1" s="235"/>
      <c r="N1" s="235"/>
      <c r="O1" s="235"/>
      <c r="Q1" s="236"/>
      <c r="R1" s="236"/>
    </row>
    <row r="2" ht="34.9" customHeight="1" spans="1:18">
      <c r="A2" s="237" t="s">
        <v>154</v>
      </c>
      <c r="B2" s="237" t="s">
        <v>2</v>
      </c>
      <c r="C2" s="238" t="s">
        <v>155</v>
      </c>
      <c r="D2" s="238" t="s">
        <v>156</v>
      </c>
      <c r="E2" s="239" t="s">
        <v>3</v>
      </c>
      <c r="F2" s="240" t="s">
        <v>4</v>
      </c>
      <c r="G2" s="241" t="s">
        <v>157</v>
      </c>
      <c r="H2" s="241" t="s">
        <v>158</v>
      </c>
      <c r="I2" s="241"/>
      <c r="J2" s="241"/>
      <c r="K2" s="241" t="s">
        <v>159</v>
      </c>
      <c r="L2" s="241"/>
      <c r="M2" s="241"/>
      <c r="N2" s="242" t="s">
        <v>160</v>
      </c>
      <c r="O2" s="242" t="s">
        <v>161</v>
      </c>
    </row>
    <row r="3" ht="34.9" customHeight="1" spans="1:18">
      <c r="A3" s="237"/>
      <c r="B3" s="237"/>
      <c r="C3" s="238"/>
      <c r="D3" s="238"/>
      <c r="E3" s="239"/>
      <c r="F3" s="240"/>
      <c r="G3" s="241"/>
      <c r="H3" s="243" t="s">
        <v>162</v>
      </c>
      <c r="I3" s="241" t="s">
        <v>163</v>
      </c>
      <c r="J3" s="243" t="s">
        <v>164</v>
      </c>
      <c r="K3" s="243" t="s">
        <v>162</v>
      </c>
      <c r="L3" s="241" t="s">
        <v>163</v>
      </c>
      <c r="M3" s="243" t="s">
        <v>164</v>
      </c>
      <c r="N3" s="244"/>
      <c r="O3" s="244"/>
      <c r="R3" s="245" t="s">
        <v>165</v>
      </c>
    </row>
    <row r="4" ht="99" spans="1:18">
      <c r="A4" s="6">
        <v>1</v>
      </c>
      <c r="B4" s="246" t="s">
        <v>166</v>
      </c>
      <c r="C4" s="247" t="s">
        <v>167</v>
      </c>
      <c r="D4" s="248" t="s">
        <v>168</v>
      </c>
      <c r="E4" s="249" t="s">
        <v>169</v>
      </c>
      <c r="F4" s="250" t="s">
        <v>170</v>
      </c>
      <c r="G4" s="251" t="s">
        <v>171</v>
      </c>
      <c r="H4" s="252">
        <f t="shared" ref="H4:H64" si="0">ROUND(J4/1.02,2)</f>
        <v>13955.88</v>
      </c>
      <c r="I4" s="252">
        <f t="shared" ref="I4:I64" si="1">ROUND(H4*2%,2)</f>
        <v>279.12</v>
      </c>
      <c r="J4" s="252">
        <f>28470/2</f>
        <v>14235</v>
      </c>
      <c r="K4" s="252" t="s">
        <v>172</v>
      </c>
      <c r="L4" s="252" t="s">
        <v>172</v>
      </c>
      <c r="M4" s="252" t="s">
        <v>172</v>
      </c>
      <c r="N4" s="252" t="s">
        <v>172</v>
      </c>
      <c r="O4" s="253" t="s">
        <v>173</v>
      </c>
      <c r="Q4" s="245"/>
      <c r="R4" s="245" t="s">
        <v>174</v>
      </c>
    </row>
    <row r="5" ht="60.95" customHeight="1" spans="1:18">
      <c r="A5" s="6">
        <v>2</v>
      </c>
      <c r="B5" s="246" t="s">
        <v>166</v>
      </c>
      <c r="C5" s="247" t="s">
        <v>167</v>
      </c>
      <c r="D5" s="248" t="s">
        <v>175</v>
      </c>
      <c r="E5" s="249" t="s">
        <v>176</v>
      </c>
      <c r="F5" s="250" t="s">
        <v>177</v>
      </c>
      <c r="G5" s="251" t="s">
        <v>178</v>
      </c>
      <c r="H5" s="252">
        <f t="shared" si="0"/>
        <v>12058.82</v>
      </c>
      <c r="I5" s="252">
        <f t="shared" si="1"/>
        <v>241.18</v>
      </c>
      <c r="J5" s="252">
        <v>12300</v>
      </c>
      <c r="K5" s="252">
        <f t="shared" ref="K5:K64" si="2">ROUND(M5/1.02,2)</f>
        <v>12058.82</v>
      </c>
      <c r="L5" s="252">
        <f t="shared" ref="L5:L64" si="3">ROUND(K5*2%,2)</f>
        <v>241.18</v>
      </c>
      <c r="M5" s="252">
        <v>12300</v>
      </c>
      <c r="N5" s="254">
        <f t="shared" ref="N5:N64" si="4">(M5-J5)/J5</f>
        <v>0</v>
      </c>
      <c r="O5" s="255" t="s">
        <v>39</v>
      </c>
    </row>
    <row r="6" ht="60.95" customHeight="1" spans="1:18">
      <c r="A6" s="6">
        <v>3</v>
      </c>
      <c r="B6" s="246" t="s">
        <v>166</v>
      </c>
      <c r="C6" s="247" t="s">
        <v>167</v>
      </c>
      <c r="D6" s="248" t="s">
        <v>179</v>
      </c>
      <c r="E6" s="249" t="s">
        <v>180</v>
      </c>
      <c r="F6" s="250"/>
      <c r="G6" s="251"/>
      <c r="H6" s="252">
        <f t="shared" si="0"/>
        <v>19215.69</v>
      </c>
      <c r="I6" s="252">
        <f t="shared" si="1"/>
        <v>384.31</v>
      </c>
      <c r="J6" s="252">
        <v>19600</v>
      </c>
      <c r="K6" s="252">
        <f t="shared" si="2"/>
        <v>19215.69</v>
      </c>
      <c r="L6" s="252">
        <f t="shared" si="3"/>
        <v>384.31</v>
      </c>
      <c r="M6" s="252">
        <v>19600</v>
      </c>
      <c r="N6" s="254">
        <f t="shared" si="4"/>
        <v>0</v>
      </c>
      <c r="O6" s="255" t="s">
        <v>39</v>
      </c>
    </row>
    <row r="7" ht="82.5" spans="1:18">
      <c r="A7" s="6">
        <v>4</v>
      </c>
      <c r="B7" s="246" t="s">
        <v>166</v>
      </c>
      <c r="C7" s="247" t="s">
        <v>167</v>
      </c>
      <c r="D7" s="248" t="s">
        <v>181</v>
      </c>
      <c r="E7" s="249" t="s">
        <v>182</v>
      </c>
      <c r="F7" s="250" t="s">
        <v>183</v>
      </c>
      <c r="G7" s="251" t="s">
        <v>184</v>
      </c>
      <c r="H7" s="252">
        <f t="shared" si="0"/>
        <v>2925.49</v>
      </c>
      <c r="I7" s="252">
        <f t="shared" si="1"/>
        <v>58.51</v>
      </c>
      <c r="J7" s="252">
        <v>2984</v>
      </c>
      <c r="K7" s="252">
        <f t="shared" si="2"/>
        <v>2925.49</v>
      </c>
      <c r="L7" s="252">
        <f t="shared" si="3"/>
        <v>58.51</v>
      </c>
      <c r="M7" s="252">
        <v>2984</v>
      </c>
      <c r="N7" s="254">
        <f t="shared" si="4"/>
        <v>0</v>
      </c>
      <c r="O7" s="255" t="s">
        <v>39</v>
      </c>
    </row>
    <row r="8" ht="82.5" spans="1:18">
      <c r="A8" s="6">
        <v>5</v>
      </c>
      <c r="B8" s="246" t="s">
        <v>166</v>
      </c>
      <c r="C8" s="247" t="s">
        <v>167</v>
      </c>
      <c r="D8" s="248" t="s">
        <v>185</v>
      </c>
      <c r="E8" s="249" t="s">
        <v>182</v>
      </c>
      <c r="F8" s="250" t="s">
        <v>186</v>
      </c>
      <c r="G8" s="251" t="s">
        <v>187</v>
      </c>
      <c r="H8" s="252">
        <f t="shared" si="0"/>
        <v>1852.35</v>
      </c>
      <c r="I8" s="252">
        <f t="shared" si="1"/>
        <v>37.05</v>
      </c>
      <c r="J8" s="252">
        <v>1889.4</v>
      </c>
      <c r="K8" s="252">
        <f t="shared" si="2"/>
        <v>1852.35</v>
      </c>
      <c r="L8" s="252">
        <f t="shared" si="3"/>
        <v>37.05</v>
      </c>
      <c r="M8" s="252">
        <f>629.8*3</f>
        <v>1889.4</v>
      </c>
      <c r="N8" s="254">
        <f t="shared" si="4"/>
        <v>0</v>
      </c>
      <c r="O8" s="255" t="s">
        <v>39</v>
      </c>
    </row>
    <row r="9" ht="82.5" spans="1:18">
      <c r="A9" s="6">
        <v>6</v>
      </c>
      <c r="B9" s="246" t="s">
        <v>166</v>
      </c>
      <c r="C9" s="247" t="s">
        <v>167</v>
      </c>
      <c r="D9" s="248" t="s">
        <v>188</v>
      </c>
      <c r="E9" s="249" t="s">
        <v>182</v>
      </c>
      <c r="F9" s="250" t="s">
        <v>189</v>
      </c>
      <c r="G9" s="251" t="s">
        <v>190</v>
      </c>
      <c r="H9" s="252">
        <f t="shared" si="0"/>
        <v>1058.92</v>
      </c>
      <c r="I9" s="252">
        <f t="shared" si="1"/>
        <v>21.18</v>
      </c>
      <c r="J9" s="252">
        <v>1080.1</v>
      </c>
      <c r="K9" s="252">
        <f t="shared" si="2"/>
        <v>1058.92</v>
      </c>
      <c r="L9" s="252">
        <f t="shared" si="3"/>
        <v>21.18</v>
      </c>
      <c r="M9" s="252">
        <v>1080.1</v>
      </c>
      <c r="N9" s="254">
        <f t="shared" si="4"/>
        <v>0</v>
      </c>
      <c r="O9" s="255" t="s">
        <v>39</v>
      </c>
    </row>
    <row r="10" ht="82.5" spans="1:18">
      <c r="A10" s="6">
        <v>7</v>
      </c>
      <c r="B10" s="246" t="s">
        <v>166</v>
      </c>
      <c r="C10" s="247" t="s">
        <v>167</v>
      </c>
      <c r="D10" s="248" t="s">
        <v>191</v>
      </c>
      <c r="E10" s="249" t="s">
        <v>192</v>
      </c>
      <c r="F10" s="250" t="s">
        <v>193</v>
      </c>
      <c r="G10" s="251" t="s">
        <v>194</v>
      </c>
      <c r="H10" s="252">
        <f t="shared" si="0"/>
        <v>2549.02</v>
      </c>
      <c r="I10" s="252">
        <f t="shared" si="1"/>
        <v>50.98</v>
      </c>
      <c r="J10" s="252">
        <v>2600</v>
      </c>
      <c r="K10" s="252">
        <f t="shared" si="2"/>
        <v>2549.02</v>
      </c>
      <c r="L10" s="252">
        <f t="shared" si="3"/>
        <v>50.98</v>
      </c>
      <c r="M10" s="252">
        <v>2600</v>
      </c>
      <c r="N10" s="254">
        <f t="shared" si="4"/>
        <v>0</v>
      </c>
      <c r="O10" s="255" t="s">
        <v>39</v>
      </c>
    </row>
    <row r="11" s="228" customFormat="1" ht="71.1" customHeight="1" spans="1:18">
      <c r="A11" s="6">
        <v>8</v>
      </c>
      <c r="B11" s="246" t="s">
        <v>166</v>
      </c>
      <c r="C11" s="247" t="s">
        <v>167</v>
      </c>
      <c r="D11" s="248" t="s">
        <v>195</v>
      </c>
      <c r="E11" s="249" t="s">
        <v>196</v>
      </c>
      <c r="F11" s="256" t="s">
        <v>197</v>
      </c>
      <c r="G11" s="257" t="s">
        <v>198</v>
      </c>
      <c r="H11" s="258">
        <f t="shared" si="0"/>
        <v>82.16</v>
      </c>
      <c r="I11" s="258">
        <f t="shared" si="1"/>
        <v>1.64</v>
      </c>
      <c r="J11" s="258">
        <v>83.8015</v>
      </c>
      <c r="K11" s="258">
        <f t="shared" si="2"/>
        <v>68.33</v>
      </c>
      <c r="L11" s="258">
        <f t="shared" si="3"/>
        <v>1.37</v>
      </c>
      <c r="M11" s="258">
        <f>ROUND(69703.9/1000,2)</f>
        <v>69.7</v>
      </c>
      <c r="N11" s="254">
        <f t="shared" si="4"/>
        <v>-0.16827264428441</v>
      </c>
      <c r="O11" s="259" t="s">
        <v>199</v>
      </c>
      <c r="Q11" s="260"/>
      <c r="R11" s="260"/>
    </row>
    <row r="12" s="228" customFormat="1" ht="71.1" customHeight="1" spans="1:18">
      <c r="A12" s="6">
        <v>9</v>
      </c>
      <c r="B12" s="246" t="s">
        <v>166</v>
      </c>
      <c r="C12" s="247" t="s">
        <v>167</v>
      </c>
      <c r="D12" s="248" t="s">
        <v>200</v>
      </c>
      <c r="E12" s="249" t="s">
        <v>196</v>
      </c>
      <c r="F12" s="256"/>
      <c r="G12" s="257" t="s">
        <v>201</v>
      </c>
      <c r="H12" s="258">
        <f t="shared" si="0"/>
        <v>74.35</v>
      </c>
      <c r="I12" s="258">
        <f t="shared" si="1"/>
        <v>1.49</v>
      </c>
      <c r="J12" s="258">
        <v>75.84</v>
      </c>
      <c r="K12" s="258">
        <f t="shared" si="2"/>
        <v>74.35</v>
      </c>
      <c r="L12" s="258">
        <f t="shared" si="3"/>
        <v>1.49</v>
      </c>
      <c r="M12" s="258">
        <f>ROUND(75841.6/1000,2)</f>
        <v>75.84</v>
      </c>
      <c r="N12" s="254">
        <f t="shared" si="4"/>
        <v>0</v>
      </c>
      <c r="O12" s="255" t="s">
        <v>39</v>
      </c>
      <c r="Q12" s="260"/>
      <c r="R12" s="260"/>
    </row>
    <row r="13" s="228" customFormat="1" ht="71.1" customHeight="1" spans="1:18">
      <c r="A13" s="6">
        <v>10</v>
      </c>
      <c r="B13" s="246" t="s">
        <v>166</v>
      </c>
      <c r="C13" s="247" t="s">
        <v>167</v>
      </c>
      <c r="D13" s="248" t="s">
        <v>202</v>
      </c>
      <c r="E13" s="249" t="s">
        <v>196</v>
      </c>
      <c r="F13" s="256"/>
      <c r="G13" s="257" t="s">
        <v>203</v>
      </c>
      <c r="H13" s="258">
        <f t="shared" si="0"/>
        <v>79.68</v>
      </c>
      <c r="I13" s="258">
        <f t="shared" si="1"/>
        <v>1.59</v>
      </c>
      <c r="J13" s="258">
        <v>81.27</v>
      </c>
      <c r="K13" s="258">
        <f t="shared" si="2"/>
        <v>79.68</v>
      </c>
      <c r="L13" s="258">
        <f t="shared" si="3"/>
        <v>1.59</v>
      </c>
      <c r="M13" s="258">
        <f>ROUND(81271/1000,2)</f>
        <v>81.27</v>
      </c>
      <c r="N13" s="254">
        <f t="shared" si="4"/>
        <v>0</v>
      </c>
      <c r="O13" s="255" t="s">
        <v>39</v>
      </c>
      <c r="Q13" s="260"/>
      <c r="R13" s="260"/>
    </row>
    <row r="14" s="228" customFormat="1" ht="71.1" customHeight="1" spans="1:18">
      <c r="A14" s="6">
        <v>11</v>
      </c>
      <c r="B14" s="246" t="s">
        <v>166</v>
      </c>
      <c r="C14" s="247" t="s">
        <v>167</v>
      </c>
      <c r="D14" s="248" t="s">
        <v>204</v>
      </c>
      <c r="E14" s="249" t="s">
        <v>196</v>
      </c>
      <c r="F14" s="256"/>
      <c r="G14" s="257" t="s">
        <v>205</v>
      </c>
      <c r="H14" s="258">
        <f t="shared" si="0"/>
        <v>54.21</v>
      </c>
      <c r="I14" s="258">
        <f t="shared" si="1"/>
        <v>1.08</v>
      </c>
      <c r="J14" s="258">
        <v>55.29</v>
      </c>
      <c r="K14" s="258">
        <f t="shared" si="2"/>
        <v>54.2</v>
      </c>
      <c r="L14" s="258">
        <f t="shared" si="3"/>
        <v>1.08</v>
      </c>
      <c r="M14" s="258">
        <f>ROUND(55279.9/1000,2)</f>
        <v>55.28</v>
      </c>
      <c r="N14" s="254">
        <f t="shared" si="4"/>
        <v>-0.000180864532465148</v>
      </c>
      <c r="O14" s="255" t="s">
        <v>39</v>
      </c>
      <c r="Q14" s="260"/>
      <c r="R14" s="260"/>
    </row>
    <row r="15" s="228" customFormat="1" ht="60" customHeight="1" spans="1:18">
      <c r="A15" s="6">
        <v>12</v>
      </c>
      <c r="B15" s="246" t="s">
        <v>166</v>
      </c>
      <c r="C15" s="247" t="s">
        <v>167</v>
      </c>
      <c r="D15" s="248" t="s">
        <v>206</v>
      </c>
      <c r="E15" s="249" t="s">
        <v>180</v>
      </c>
      <c r="F15" s="261" t="s">
        <v>207</v>
      </c>
      <c r="G15" s="257" t="s">
        <v>208</v>
      </c>
      <c r="H15" s="258">
        <f t="shared" si="0"/>
        <v>32156.86</v>
      </c>
      <c r="I15" s="258">
        <f t="shared" si="1"/>
        <v>643.14</v>
      </c>
      <c r="J15" s="258">
        <v>32800</v>
      </c>
      <c r="K15" s="258">
        <f t="shared" si="2"/>
        <v>25980.39</v>
      </c>
      <c r="L15" s="258">
        <f t="shared" si="3"/>
        <v>519.61</v>
      </c>
      <c r="M15" s="258">
        <v>26500</v>
      </c>
      <c r="N15" s="254">
        <f t="shared" si="4"/>
        <v>-0.192073170731707</v>
      </c>
      <c r="O15" s="259" t="s">
        <v>209</v>
      </c>
      <c r="Q15" s="260"/>
      <c r="R15" s="260"/>
    </row>
    <row r="16" s="228" customFormat="1" ht="60" customHeight="1" spans="1:18">
      <c r="A16" s="6">
        <v>13</v>
      </c>
      <c r="B16" s="246" t="s">
        <v>166</v>
      </c>
      <c r="C16" s="247" t="s">
        <v>167</v>
      </c>
      <c r="D16" s="248" t="s">
        <v>210</v>
      </c>
      <c r="E16" s="249" t="s">
        <v>180</v>
      </c>
      <c r="F16" s="261"/>
      <c r="G16" s="257" t="s">
        <v>211</v>
      </c>
      <c r="H16" s="258">
        <f t="shared" si="0"/>
        <v>33137.25</v>
      </c>
      <c r="I16" s="258">
        <f t="shared" si="1"/>
        <v>662.75</v>
      </c>
      <c r="J16" s="258">
        <v>33800</v>
      </c>
      <c r="K16" s="258">
        <f t="shared" si="2"/>
        <v>26960.78</v>
      </c>
      <c r="L16" s="258">
        <f t="shared" si="3"/>
        <v>539.22</v>
      </c>
      <c r="M16" s="258">
        <v>27500</v>
      </c>
      <c r="N16" s="254">
        <f t="shared" si="4"/>
        <v>-0.186390532544379</v>
      </c>
      <c r="O16" s="259" t="s">
        <v>209</v>
      </c>
      <c r="Q16" s="260"/>
      <c r="R16" s="260"/>
    </row>
    <row r="17" s="228" customFormat="1" ht="60" customHeight="1" spans="1:18">
      <c r="A17" s="6">
        <v>14</v>
      </c>
      <c r="B17" s="246" t="s">
        <v>166</v>
      </c>
      <c r="C17" s="247" t="s">
        <v>167</v>
      </c>
      <c r="D17" s="248" t="s">
        <v>212</v>
      </c>
      <c r="E17" s="249" t="s">
        <v>180</v>
      </c>
      <c r="F17" s="261"/>
      <c r="G17" s="257" t="s">
        <v>213</v>
      </c>
      <c r="H17" s="258">
        <f t="shared" si="0"/>
        <v>34117.65</v>
      </c>
      <c r="I17" s="258">
        <f t="shared" si="1"/>
        <v>682.35</v>
      </c>
      <c r="J17" s="258">
        <v>34800</v>
      </c>
      <c r="K17" s="258">
        <f t="shared" si="2"/>
        <v>27941.18</v>
      </c>
      <c r="L17" s="258">
        <f t="shared" si="3"/>
        <v>558.82</v>
      </c>
      <c r="M17" s="258">
        <v>28500</v>
      </c>
      <c r="N17" s="254">
        <f t="shared" si="4"/>
        <v>-0.181034482758621</v>
      </c>
      <c r="O17" s="259" t="s">
        <v>209</v>
      </c>
      <c r="Q17" s="260"/>
      <c r="R17" s="260"/>
    </row>
    <row r="18" s="228" customFormat="1" ht="60" customHeight="1" spans="1:18">
      <c r="A18" s="6">
        <v>15</v>
      </c>
      <c r="B18" s="246" t="s">
        <v>166</v>
      </c>
      <c r="C18" s="247" t="s">
        <v>167</v>
      </c>
      <c r="D18" s="248" t="s">
        <v>214</v>
      </c>
      <c r="E18" s="249" t="s">
        <v>180</v>
      </c>
      <c r="F18" s="261"/>
      <c r="G18" s="257" t="s">
        <v>215</v>
      </c>
      <c r="H18" s="258">
        <f t="shared" si="0"/>
        <v>40294.12</v>
      </c>
      <c r="I18" s="258">
        <f t="shared" si="1"/>
        <v>805.88</v>
      </c>
      <c r="J18" s="258">
        <v>41100</v>
      </c>
      <c r="K18" s="258">
        <f t="shared" si="2"/>
        <v>34215.69</v>
      </c>
      <c r="L18" s="258">
        <f t="shared" si="3"/>
        <v>684.31</v>
      </c>
      <c r="M18" s="258">
        <v>34900</v>
      </c>
      <c r="N18" s="254">
        <f t="shared" si="4"/>
        <v>-0.150851581508516</v>
      </c>
      <c r="O18" s="259" t="s">
        <v>209</v>
      </c>
      <c r="Q18" s="260"/>
      <c r="R18" s="260"/>
    </row>
    <row r="19" s="228" customFormat="1" ht="60" customHeight="1" spans="1:18">
      <c r="A19" s="6">
        <v>16</v>
      </c>
      <c r="B19" s="246" t="s">
        <v>166</v>
      </c>
      <c r="C19" s="247" t="s">
        <v>167</v>
      </c>
      <c r="D19" s="248" t="s">
        <v>216</v>
      </c>
      <c r="E19" s="249" t="s">
        <v>180</v>
      </c>
      <c r="F19" s="261"/>
      <c r="G19" s="257" t="s">
        <v>217</v>
      </c>
      <c r="H19" s="258">
        <f t="shared" si="0"/>
        <v>43627.45</v>
      </c>
      <c r="I19" s="258">
        <f t="shared" si="1"/>
        <v>872.55</v>
      </c>
      <c r="J19" s="258">
        <v>44500</v>
      </c>
      <c r="K19" s="258">
        <f t="shared" si="2"/>
        <v>37549.02</v>
      </c>
      <c r="L19" s="258">
        <f t="shared" si="3"/>
        <v>750.98</v>
      </c>
      <c r="M19" s="258">
        <v>38300</v>
      </c>
      <c r="N19" s="254">
        <f t="shared" si="4"/>
        <v>-0.139325842696629</v>
      </c>
      <c r="O19" s="259" t="s">
        <v>209</v>
      </c>
      <c r="Q19" s="260"/>
      <c r="R19" s="260"/>
    </row>
    <row r="20" s="228" customFormat="1" ht="82.5" spans="1:18">
      <c r="A20" s="6">
        <v>17</v>
      </c>
      <c r="B20" s="246" t="s">
        <v>166</v>
      </c>
      <c r="C20" s="247" t="s">
        <v>167</v>
      </c>
      <c r="D20" s="248" t="s">
        <v>218</v>
      </c>
      <c r="E20" s="249" t="s">
        <v>182</v>
      </c>
      <c r="F20" s="256" t="s">
        <v>193</v>
      </c>
      <c r="G20" s="257" t="s">
        <v>219</v>
      </c>
      <c r="H20" s="258">
        <f t="shared" si="0"/>
        <v>4679.41</v>
      </c>
      <c r="I20" s="258">
        <f t="shared" si="1"/>
        <v>93.59</v>
      </c>
      <c r="J20" s="258">
        <v>4773</v>
      </c>
      <c r="K20" s="258">
        <f t="shared" si="2"/>
        <v>4679.41</v>
      </c>
      <c r="L20" s="258">
        <f t="shared" si="3"/>
        <v>93.59</v>
      </c>
      <c r="M20" s="258">
        <v>4773</v>
      </c>
      <c r="N20" s="254">
        <f t="shared" si="4"/>
        <v>0</v>
      </c>
      <c r="O20" s="255" t="s">
        <v>39</v>
      </c>
      <c r="Q20" s="260"/>
      <c r="R20" s="260"/>
    </row>
    <row r="21" s="228" customFormat="1" ht="98.1" customHeight="1" spans="1:18">
      <c r="A21" s="6">
        <v>18</v>
      </c>
      <c r="B21" s="246" t="s">
        <v>166</v>
      </c>
      <c r="C21" s="247" t="s">
        <v>167</v>
      </c>
      <c r="D21" s="248" t="s">
        <v>220</v>
      </c>
      <c r="E21" s="249" t="s">
        <v>180</v>
      </c>
      <c r="F21" s="256" t="s">
        <v>221</v>
      </c>
      <c r="G21" s="257" t="s">
        <v>222</v>
      </c>
      <c r="H21" s="258">
        <f t="shared" si="0"/>
        <v>67352.94</v>
      </c>
      <c r="I21" s="258">
        <f t="shared" si="1"/>
        <v>1347.06</v>
      </c>
      <c r="J21" s="258">
        <v>68700</v>
      </c>
      <c r="K21" s="258">
        <f t="shared" si="2"/>
        <v>67352.94</v>
      </c>
      <c r="L21" s="258">
        <f t="shared" si="3"/>
        <v>1347.06</v>
      </c>
      <c r="M21" s="258">
        <v>68700</v>
      </c>
      <c r="N21" s="254">
        <f t="shared" si="4"/>
        <v>0</v>
      </c>
      <c r="O21" s="255" t="s">
        <v>39</v>
      </c>
      <c r="Q21" s="260"/>
      <c r="R21" s="260"/>
    </row>
    <row r="22" s="228" customFormat="1" ht="98.1" customHeight="1" spans="1:18">
      <c r="A22" s="6">
        <v>19</v>
      </c>
      <c r="B22" s="246" t="s">
        <v>166</v>
      </c>
      <c r="C22" s="247" t="s">
        <v>167</v>
      </c>
      <c r="D22" s="248" t="s">
        <v>223</v>
      </c>
      <c r="E22" s="249" t="s">
        <v>180</v>
      </c>
      <c r="F22" s="256"/>
      <c r="G22" s="257" t="s">
        <v>224</v>
      </c>
      <c r="H22" s="258">
        <f t="shared" si="0"/>
        <v>73235.29</v>
      </c>
      <c r="I22" s="258">
        <f t="shared" si="1"/>
        <v>1464.71</v>
      </c>
      <c r="J22" s="258">
        <v>74700</v>
      </c>
      <c r="K22" s="258">
        <f t="shared" si="2"/>
        <v>73235.29</v>
      </c>
      <c r="L22" s="258">
        <f t="shared" si="3"/>
        <v>1464.71</v>
      </c>
      <c r="M22" s="258">
        <v>74700</v>
      </c>
      <c r="N22" s="254">
        <f t="shared" si="4"/>
        <v>0</v>
      </c>
      <c r="O22" s="255" t="s">
        <v>39</v>
      </c>
      <c r="Q22" s="260"/>
      <c r="R22" s="260"/>
    </row>
    <row r="23" s="228" customFormat="1" ht="99" customHeight="1" spans="1:18">
      <c r="A23" s="6" t="s">
        <v>225</v>
      </c>
      <c r="B23" s="246" t="s">
        <v>166</v>
      </c>
      <c r="C23" s="247" t="s">
        <v>167</v>
      </c>
      <c r="D23" s="248" t="s">
        <v>226</v>
      </c>
      <c r="E23" s="249" t="s">
        <v>227</v>
      </c>
      <c r="F23" s="256" t="s">
        <v>228</v>
      </c>
      <c r="G23" s="257" t="s">
        <v>229</v>
      </c>
      <c r="H23" s="258">
        <f t="shared" si="0"/>
        <v>73.74</v>
      </c>
      <c r="I23" s="258">
        <f t="shared" si="1"/>
        <v>1.47</v>
      </c>
      <c r="J23" s="258">
        <v>75.21</v>
      </c>
      <c r="K23" s="258">
        <f t="shared" si="2"/>
        <v>73.74</v>
      </c>
      <c r="L23" s="258">
        <f t="shared" si="3"/>
        <v>1.47</v>
      </c>
      <c r="M23" s="258">
        <v>75.21</v>
      </c>
      <c r="N23" s="254">
        <f t="shared" si="4"/>
        <v>0</v>
      </c>
      <c r="O23" s="255" t="s">
        <v>39</v>
      </c>
      <c r="Q23" s="260"/>
      <c r="R23" s="260"/>
    </row>
    <row r="24" s="228" customFormat="1" ht="63" customHeight="1" spans="1:18">
      <c r="A24" s="6">
        <v>21</v>
      </c>
      <c r="B24" s="246" t="s">
        <v>166</v>
      </c>
      <c r="C24" s="247" t="s">
        <v>230</v>
      </c>
      <c r="D24" s="248" t="s">
        <v>231</v>
      </c>
      <c r="E24" s="249" t="s">
        <v>196</v>
      </c>
      <c r="F24" s="262" t="s">
        <v>232</v>
      </c>
      <c r="G24" s="257" t="s">
        <v>233</v>
      </c>
      <c r="H24" s="258">
        <f t="shared" si="0"/>
        <v>34.51</v>
      </c>
      <c r="I24" s="258">
        <f t="shared" si="1"/>
        <v>0.69</v>
      </c>
      <c r="J24" s="258">
        <v>35.2</v>
      </c>
      <c r="K24" s="258">
        <f t="shared" si="2"/>
        <v>33.43</v>
      </c>
      <c r="L24" s="258">
        <f t="shared" si="3"/>
        <v>0.67</v>
      </c>
      <c r="M24" s="258">
        <f>ROUND(34100/1000,2)</f>
        <v>34.1</v>
      </c>
      <c r="N24" s="254">
        <f t="shared" si="4"/>
        <v>-0.03125</v>
      </c>
      <c r="O24" s="259" t="s">
        <v>234</v>
      </c>
      <c r="Q24" s="260"/>
      <c r="R24" s="260"/>
    </row>
    <row r="25" s="228" customFormat="1" ht="63" customHeight="1" spans="1:18">
      <c r="A25" s="6">
        <v>22</v>
      </c>
      <c r="B25" s="246" t="s">
        <v>166</v>
      </c>
      <c r="C25" s="247" t="s">
        <v>230</v>
      </c>
      <c r="D25" s="248" t="s">
        <v>235</v>
      </c>
      <c r="E25" s="249" t="s">
        <v>196</v>
      </c>
      <c r="F25" s="263"/>
      <c r="G25" s="257" t="s">
        <v>236</v>
      </c>
      <c r="H25" s="258">
        <f t="shared" si="0"/>
        <v>35.29</v>
      </c>
      <c r="I25" s="258">
        <f t="shared" si="1"/>
        <v>0.71</v>
      </c>
      <c r="J25" s="258">
        <v>36</v>
      </c>
      <c r="K25" s="258">
        <f t="shared" si="2"/>
        <v>34.22</v>
      </c>
      <c r="L25" s="258">
        <f t="shared" si="3"/>
        <v>0.68</v>
      </c>
      <c r="M25" s="258">
        <f>ROUND(34900/1000,2)</f>
        <v>34.9</v>
      </c>
      <c r="N25" s="254">
        <f t="shared" si="4"/>
        <v>-0.0305555555555556</v>
      </c>
      <c r="O25" s="259" t="s">
        <v>234</v>
      </c>
      <c r="Q25" s="260"/>
      <c r="R25" s="260"/>
    </row>
    <row r="26" s="228" customFormat="1" ht="63" customHeight="1" spans="1:18">
      <c r="A26" s="6">
        <v>23</v>
      </c>
      <c r="B26" s="246" t="s">
        <v>166</v>
      </c>
      <c r="C26" s="247" t="s">
        <v>230</v>
      </c>
      <c r="D26" s="248" t="s">
        <v>237</v>
      </c>
      <c r="E26" s="249" t="s">
        <v>196</v>
      </c>
      <c r="F26" s="263"/>
      <c r="G26" s="257" t="s">
        <v>238</v>
      </c>
      <c r="H26" s="258">
        <f t="shared" si="0"/>
        <v>36.76</v>
      </c>
      <c r="I26" s="258">
        <f t="shared" si="1"/>
        <v>0.74</v>
      </c>
      <c r="J26" s="258">
        <v>37.5</v>
      </c>
      <c r="K26" s="258">
        <f t="shared" si="2"/>
        <v>35.69</v>
      </c>
      <c r="L26" s="258">
        <f t="shared" si="3"/>
        <v>0.71</v>
      </c>
      <c r="M26" s="258">
        <f>ROUND(36400/1000,2)</f>
        <v>36.4</v>
      </c>
      <c r="N26" s="254">
        <f t="shared" si="4"/>
        <v>-0.0293333333333334</v>
      </c>
      <c r="O26" s="259" t="s">
        <v>234</v>
      </c>
      <c r="Q26" s="260"/>
      <c r="R26" s="260"/>
    </row>
    <row r="27" s="228" customFormat="1" ht="63" customHeight="1" spans="1:18">
      <c r="A27" s="6">
        <v>24</v>
      </c>
      <c r="B27" s="246" t="s">
        <v>166</v>
      </c>
      <c r="C27" s="247" t="s">
        <v>230</v>
      </c>
      <c r="D27" s="248" t="s">
        <v>239</v>
      </c>
      <c r="E27" s="249" t="s">
        <v>196</v>
      </c>
      <c r="F27" s="263"/>
      <c r="G27" s="257" t="s">
        <v>240</v>
      </c>
      <c r="H27" s="258">
        <f t="shared" si="0"/>
        <v>38.92</v>
      </c>
      <c r="I27" s="258">
        <f t="shared" si="1"/>
        <v>0.78</v>
      </c>
      <c r="J27" s="258">
        <v>39.7</v>
      </c>
      <c r="K27" s="258">
        <f t="shared" si="2"/>
        <v>37.94</v>
      </c>
      <c r="L27" s="258">
        <f t="shared" si="3"/>
        <v>0.76</v>
      </c>
      <c r="M27" s="258">
        <f>ROUND(38700/1000,2)</f>
        <v>38.7</v>
      </c>
      <c r="N27" s="254">
        <f t="shared" si="4"/>
        <v>-0.0251889168765743</v>
      </c>
      <c r="O27" s="259" t="s">
        <v>234</v>
      </c>
      <c r="Q27" s="260"/>
      <c r="R27" s="260"/>
    </row>
    <row r="28" s="228" customFormat="1" ht="63" customHeight="1" spans="1:18">
      <c r="A28" s="6">
        <v>25</v>
      </c>
      <c r="B28" s="246" t="s">
        <v>166</v>
      </c>
      <c r="C28" s="247" t="s">
        <v>230</v>
      </c>
      <c r="D28" s="248" t="s">
        <v>241</v>
      </c>
      <c r="E28" s="249" t="s">
        <v>196</v>
      </c>
      <c r="F28" s="263"/>
      <c r="G28" s="257" t="s">
        <v>242</v>
      </c>
      <c r="H28" s="258">
        <f t="shared" si="0"/>
        <v>44.71</v>
      </c>
      <c r="I28" s="258">
        <f t="shared" si="1"/>
        <v>0.89</v>
      </c>
      <c r="J28" s="258">
        <v>45.6</v>
      </c>
      <c r="K28" s="258">
        <f t="shared" si="2"/>
        <v>40.59</v>
      </c>
      <c r="L28" s="258">
        <f t="shared" si="3"/>
        <v>0.81</v>
      </c>
      <c r="M28" s="264">
        <f>ROUND(41400/1000,2)</f>
        <v>41.4</v>
      </c>
      <c r="N28" s="254">
        <f t="shared" si="4"/>
        <v>-0.0921052631578948</v>
      </c>
      <c r="O28" s="259" t="s">
        <v>234</v>
      </c>
      <c r="Q28" s="260"/>
      <c r="R28" s="260"/>
    </row>
    <row r="29" s="228" customFormat="1" ht="63" customHeight="1" spans="1:18">
      <c r="A29" s="6">
        <v>26</v>
      </c>
      <c r="B29" s="246" t="s">
        <v>166</v>
      </c>
      <c r="C29" s="247" t="s">
        <v>230</v>
      </c>
      <c r="D29" s="248" t="s">
        <v>243</v>
      </c>
      <c r="E29" s="249" t="s">
        <v>196</v>
      </c>
      <c r="F29" s="263"/>
      <c r="G29" s="257" t="s">
        <v>244</v>
      </c>
      <c r="H29" s="258">
        <f t="shared" si="0"/>
        <v>48.53</v>
      </c>
      <c r="I29" s="258">
        <f t="shared" si="1"/>
        <v>0.97</v>
      </c>
      <c r="J29" s="258">
        <v>49.5</v>
      </c>
      <c r="K29" s="258">
        <f t="shared" si="2"/>
        <v>44.41</v>
      </c>
      <c r="L29" s="258">
        <f t="shared" si="3"/>
        <v>0.89</v>
      </c>
      <c r="M29" s="258">
        <f>ROUND(45300/1000,2)</f>
        <v>45.3</v>
      </c>
      <c r="N29" s="254">
        <f t="shared" si="4"/>
        <v>-0.0848484848484849</v>
      </c>
      <c r="O29" s="259" t="s">
        <v>234</v>
      </c>
      <c r="Q29" s="260"/>
      <c r="R29" s="260"/>
    </row>
    <row r="30" s="228" customFormat="1" ht="63" customHeight="1" spans="1:18">
      <c r="A30" s="6">
        <v>27</v>
      </c>
      <c r="B30" s="246" t="s">
        <v>166</v>
      </c>
      <c r="C30" s="247" t="s">
        <v>230</v>
      </c>
      <c r="D30" s="248" t="s">
        <v>245</v>
      </c>
      <c r="E30" s="249" t="s">
        <v>196</v>
      </c>
      <c r="F30" s="265"/>
      <c r="G30" s="257" t="s">
        <v>246</v>
      </c>
      <c r="H30" s="258">
        <f t="shared" si="0"/>
        <v>34.02</v>
      </c>
      <c r="I30" s="258">
        <f t="shared" si="1"/>
        <v>0.68</v>
      </c>
      <c r="J30" s="258">
        <v>34.7</v>
      </c>
      <c r="K30" s="258">
        <f t="shared" si="2"/>
        <v>30.49</v>
      </c>
      <c r="L30" s="258">
        <f t="shared" si="3"/>
        <v>0.61</v>
      </c>
      <c r="M30" s="258">
        <f>ROUND(31100/1000,2)</f>
        <v>31.1</v>
      </c>
      <c r="N30" s="254">
        <f t="shared" si="4"/>
        <v>-0.103746397694525</v>
      </c>
      <c r="O30" s="259" t="s">
        <v>234</v>
      </c>
      <c r="Q30" s="260"/>
      <c r="R30" s="260"/>
    </row>
    <row r="31" s="228" customFormat="1" ht="54" customHeight="1" spans="1:18">
      <c r="A31" s="6">
        <v>28</v>
      </c>
      <c r="B31" s="246" t="s">
        <v>166</v>
      </c>
      <c r="C31" s="247" t="s">
        <v>247</v>
      </c>
      <c r="D31" s="248" t="s">
        <v>231</v>
      </c>
      <c r="E31" s="249" t="s">
        <v>196</v>
      </c>
      <c r="F31" s="262" t="s">
        <v>248</v>
      </c>
      <c r="G31" s="257" t="s">
        <v>249</v>
      </c>
      <c r="H31" s="258">
        <f t="shared" si="0"/>
        <v>59.71</v>
      </c>
      <c r="I31" s="258">
        <f t="shared" si="1"/>
        <v>1.19</v>
      </c>
      <c r="J31" s="258">
        <v>60.9</v>
      </c>
      <c r="K31" s="258">
        <f t="shared" si="2"/>
        <v>58.43</v>
      </c>
      <c r="L31" s="258">
        <f t="shared" si="3"/>
        <v>1.17</v>
      </c>
      <c r="M31" s="258">
        <f>ROUND(59600/1000,2)</f>
        <v>59.6</v>
      </c>
      <c r="N31" s="254">
        <f t="shared" si="4"/>
        <v>-0.0213464696223316</v>
      </c>
      <c r="O31" s="259" t="s">
        <v>234</v>
      </c>
      <c r="Q31" s="260"/>
      <c r="R31" s="260"/>
    </row>
    <row r="32" s="228" customFormat="1" ht="54" customHeight="1" spans="1:18">
      <c r="A32" s="6">
        <v>29</v>
      </c>
      <c r="B32" s="246" t="s">
        <v>166</v>
      </c>
      <c r="C32" s="247" t="s">
        <v>247</v>
      </c>
      <c r="D32" s="248" t="s">
        <v>235</v>
      </c>
      <c r="E32" s="249" t="s">
        <v>196</v>
      </c>
      <c r="F32" s="263"/>
      <c r="G32" s="257" t="s">
        <v>250</v>
      </c>
      <c r="H32" s="258">
        <f t="shared" si="0"/>
        <v>61.18</v>
      </c>
      <c r="I32" s="258">
        <f t="shared" si="1"/>
        <v>1.22</v>
      </c>
      <c r="J32" s="258">
        <v>62.4</v>
      </c>
      <c r="K32" s="258">
        <f t="shared" si="2"/>
        <v>59.9</v>
      </c>
      <c r="L32" s="258">
        <f t="shared" si="3"/>
        <v>1.2</v>
      </c>
      <c r="M32" s="258">
        <f>ROUND(61100/1000,2)</f>
        <v>61.1</v>
      </c>
      <c r="N32" s="254">
        <f t="shared" si="4"/>
        <v>-0.0208333333333333</v>
      </c>
      <c r="O32" s="259" t="s">
        <v>234</v>
      </c>
      <c r="Q32" s="260"/>
      <c r="R32" s="260"/>
    </row>
    <row r="33" s="228" customFormat="1" ht="54" customHeight="1" spans="1:20">
      <c r="A33" s="6">
        <v>30</v>
      </c>
      <c r="B33" s="246" t="s">
        <v>166</v>
      </c>
      <c r="C33" s="247" t="s">
        <v>247</v>
      </c>
      <c r="D33" s="248" t="s">
        <v>237</v>
      </c>
      <c r="E33" s="249" t="s">
        <v>196</v>
      </c>
      <c r="F33" s="263"/>
      <c r="G33" s="257" t="s">
        <v>251</v>
      </c>
      <c r="H33" s="258">
        <f t="shared" si="0"/>
        <v>64.12</v>
      </c>
      <c r="I33" s="258">
        <f t="shared" si="1"/>
        <v>1.28</v>
      </c>
      <c r="J33" s="258">
        <v>65.4</v>
      </c>
      <c r="K33" s="258">
        <f t="shared" si="2"/>
        <v>62.84</v>
      </c>
      <c r="L33" s="258">
        <f t="shared" si="3"/>
        <v>1.26</v>
      </c>
      <c r="M33" s="258">
        <f>ROUND(64100/1000,2)</f>
        <v>64.1</v>
      </c>
      <c r="N33" s="254">
        <f t="shared" si="4"/>
        <v>-0.0198776758409788</v>
      </c>
      <c r="O33" s="259" t="s">
        <v>234</v>
      </c>
      <c r="Q33" s="260"/>
      <c r="R33" s="260"/>
    </row>
    <row r="34" s="228" customFormat="1" ht="54" customHeight="1" spans="1:20">
      <c r="A34" s="6">
        <v>31</v>
      </c>
      <c r="B34" s="246" t="s">
        <v>166</v>
      </c>
      <c r="C34" s="247" t="s">
        <v>247</v>
      </c>
      <c r="D34" s="248" t="s">
        <v>239</v>
      </c>
      <c r="E34" s="249" t="s">
        <v>196</v>
      </c>
      <c r="F34" s="263"/>
      <c r="G34" s="257" t="s">
        <v>252</v>
      </c>
      <c r="H34" s="258">
        <f t="shared" si="0"/>
        <v>68.63</v>
      </c>
      <c r="I34" s="258">
        <f t="shared" si="1"/>
        <v>1.37</v>
      </c>
      <c r="J34" s="258">
        <v>70</v>
      </c>
      <c r="K34" s="258">
        <f t="shared" si="2"/>
        <v>67.35</v>
      </c>
      <c r="L34" s="258">
        <f t="shared" si="3"/>
        <v>1.35</v>
      </c>
      <c r="M34" s="258">
        <f>ROUND(68700/1000,2)</f>
        <v>68.7</v>
      </c>
      <c r="N34" s="254">
        <f t="shared" si="4"/>
        <v>-0.0185714285714285</v>
      </c>
      <c r="O34" s="259" t="s">
        <v>234</v>
      </c>
      <c r="Q34" s="260"/>
      <c r="R34" s="260"/>
    </row>
    <row r="35" s="228" customFormat="1" ht="54" customHeight="1" spans="1:20">
      <c r="A35" s="6">
        <v>32</v>
      </c>
      <c r="B35" s="246" t="s">
        <v>166</v>
      </c>
      <c r="C35" s="247" t="s">
        <v>247</v>
      </c>
      <c r="D35" s="248" t="s">
        <v>241</v>
      </c>
      <c r="E35" s="249" t="s">
        <v>196</v>
      </c>
      <c r="F35" s="263"/>
      <c r="G35" s="257" t="s">
        <v>253</v>
      </c>
      <c r="H35" s="258">
        <f t="shared" si="0"/>
        <v>79.9</v>
      </c>
      <c r="I35" s="258">
        <f t="shared" si="1"/>
        <v>1.6</v>
      </c>
      <c r="J35" s="258">
        <v>81.5</v>
      </c>
      <c r="K35" s="258">
        <f t="shared" si="2"/>
        <v>72.55</v>
      </c>
      <c r="L35" s="258">
        <f t="shared" si="3"/>
        <v>1.45</v>
      </c>
      <c r="M35" s="258">
        <f>ROUND(74000/1000,2)</f>
        <v>74</v>
      </c>
      <c r="N35" s="254">
        <f t="shared" si="4"/>
        <v>-0.0920245398773006</v>
      </c>
      <c r="O35" s="259" t="s">
        <v>234</v>
      </c>
      <c r="Q35" s="260"/>
      <c r="R35" s="260"/>
    </row>
    <row r="36" s="228" customFormat="1" ht="33" spans="1:20">
      <c r="A36" s="6">
        <v>33</v>
      </c>
      <c r="B36" s="246" t="s">
        <v>166</v>
      </c>
      <c r="C36" s="247" t="s">
        <v>247</v>
      </c>
      <c r="D36" s="248" t="s">
        <v>243</v>
      </c>
      <c r="E36" s="249" t="s">
        <v>196</v>
      </c>
      <c r="F36" s="263"/>
      <c r="G36" s="257" t="s">
        <v>254</v>
      </c>
      <c r="H36" s="258">
        <f t="shared" si="0"/>
        <v>87.84</v>
      </c>
      <c r="I36" s="258">
        <f t="shared" si="1"/>
        <v>1.76</v>
      </c>
      <c r="J36" s="258">
        <v>89.6</v>
      </c>
      <c r="K36" s="258">
        <f t="shared" si="2"/>
        <v>80.39</v>
      </c>
      <c r="L36" s="258">
        <f t="shared" si="3"/>
        <v>1.61</v>
      </c>
      <c r="M36" s="258">
        <f>ROUND(82000/1000,2)</f>
        <v>82</v>
      </c>
      <c r="N36" s="254">
        <f t="shared" si="4"/>
        <v>-0.0848214285714285</v>
      </c>
      <c r="O36" s="259" t="s">
        <v>234</v>
      </c>
      <c r="Q36" s="260"/>
      <c r="R36" s="260"/>
    </row>
    <row r="37" s="228" customFormat="1" ht="66" spans="1:20">
      <c r="A37" s="6">
        <v>34</v>
      </c>
      <c r="B37" s="246" t="s">
        <v>166</v>
      </c>
      <c r="C37" s="247" t="s">
        <v>247</v>
      </c>
      <c r="D37" s="248" t="s">
        <v>245</v>
      </c>
      <c r="E37" s="249" t="s">
        <v>196</v>
      </c>
      <c r="F37" s="265"/>
      <c r="G37" s="257" t="s">
        <v>255</v>
      </c>
      <c r="H37" s="258">
        <f t="shared" si="0"/>
        <v>53.24</v>
      </c>
      <c r="I37" s="258">
        <f t="shared" si="1"/>
        <v>1.06</v>
      </c>
      <c r="J37" s="258">
        <v>54.3</v>
      </c>
      <c r="K37" s="258">
        <f t="shared" si="2"/>
        <v>51.08</v>
      </c>
      <c r="L37" s="258">
        <f t="shared" si="3"/>
        <v>1.02</v>
      </c>
      <c r="M37" s="258">
        <f>ROUND(52100/1000,2)</f>
        <v>52.1</v>
      </c>
      <c r="N37" s="254">
        <f t="shared" si="4"/>
        <v>-0.0405156537753222</v>
      </c>
      <c r="O37" s="259" t="s">
        <v>234</v>
      </c>
      <c r="Q37" s="260"/>
      <c r="R37" s="260"/>
    </row>
    <row r="38" s="228" customFormat="1" ht="66" spans="1:20">
      <c r="A38" s="6">
        <v>35</v>
      </c>
      <c r="B38" s="246" t="s">
        <v>166</v>
      </c>
      <c r="C38" s="247" t="s">
        <v>256</v>
      </c>
      <c r="D38" s="248" t="s">
        <v>257</v>
      </c>
      <c r="E38" s="249" t="s">
        <v>196</v>
      </c>
      <c r="F38" s="256" t="s">
        <v>258</v>
      </c>
      <c r="G38" s="257" t="s">
        <v>259</v>
      </c>
      <c r="H38" s="258">
        <f t="shared" si="0"/>
        <v>9.72</v>
      </c>
      <c r="I38" s="258">
        <f t="shared" si="1"/>
        <v>0.19</v>
      </c>
      <c r="J38" s="258">
        <v>9.91</v>
      </c>
      <c r="K38" s="258">
        <f t="shared" si="2"/>
        <v>9.72</v>
      </c>
      <c r="L38" s="258">
        <f t="shared" si="3"/>
        <v>0.19</v>
      </c>
      <c r="M38" s="258">
        <f>ROUND(9909/1000,2)</f>
        <v>9.91</v>
      </c>
      <c r="N38" s="254">
        <f t="shared" si="4"/>
        <v>0</v>
      </c>
      <c r="O38" s="255" t="s">
        <v>39</v>
      </c>
      <c r="Q38" s="260"/>
      <c r="R38" s="260"/>
    </row>
    <row r="39" s="228" customFormat="1" ht="82.5" spans="1:20">
      <c r="A39" s="6">
        <v>36</v>
      </c>
      <c r="B39" s="246" t="s">
        <v>166</v>
      </c>
      <c r="C39" s="247" t="s">
        <v>256</v>
      </c>
      <c r="D39" s="248" t="s">
        <v>260</v>
      </c>
      <c r="E39" s="249" t="s">
        <v>192</v>
      </c>
      <c r="F39" s="256" t="s">
        <v>193</v>
      </c>
      <c r="G39" s="257" t="s">
        <v>261</v>
      </c>
      <c r="H39" s="258">
        <f t="shared" si="0"/>
        <v>2345.39</v>
      </c>
      <c r="I39" s="258">
        <f t="shared" si="1"/>
        <v>46.91</v>
      </c>
      <c r="J39" s="249">
        <f>0.23923*10000</f>
        <v>2392.3</v>
      </c>
      <c r="K39" s="258">
        <f t="shared" si="2"/>
        <v>2312.75</v>
      </c>
      <c r="L39" s="258">
        <f t="shared" si="3"/>
        <v>46.26</v>
      </c>
      <c r="M39" s="249">
        <v>2359</v>
      </c>
      <c r="N39" s="254">
        <f t="shared" si="4"/>
        <v>-0.0139196589056557</v>
      </c>
      <c r="O39" s="259" t="s">
        <v>234</v>
      </c>
      <c r="Q39" s="260"/>
      <c r="R39" s="260"/>
      <c r="S39" s="266"/>
      <c r="T39" s="266"/>
    </row>
    <row r="40" s="228" customFormat="1" ht="99" spans="1:20">
      <c r="A40" s="6">
        <v>37</v>
      </c>
      <c r="B40" s="246" t="s">
        <v>166</v>
      </c>
      <c r="C40" s="247" t="s">
        <v>256</v>
      </c>
      <c r="D40" s="248" t="s">
        <v>262</v>
      </c>
      <c r="E40" s="249" t="s">
        <v>196</v>
      </c>
      <c r="F40" s="256" t="s">
        <v>263</v>
      </c>
      <c r="G40" s="257" t="s">
        <v>264</v>
      </c>
      <c r="H40" s="258">
        <f t="shared" si="0"/>
        <v>16.82</v>
      </c>
      <c r="I40" s="258">
        <f t="shared" si="1"/>
        <v>0.34</v>
      </c>
      <c r="J40" s="258">
        <v>17.16</v>
      </c>
      <c r="K40" s="258">
        <f t="shared" si="2"/>
        <v>16.82</v>
      </c>
      <c r="L40" s="258">
        <f t="shared" si="3"/>
        <v>0.34</v>
      </c>
      <c r="M40" s="258">
        <v>17.16</v>
      </c>
      <c r="N40" s="254">
        <f t="shared" si="4"/>
        <v>0</v>
      </c>
      <c r="O40" s="255" t="s">
        <v>39</v>
      </c>
      <c r="Q40" s="260"/>
      <c r="R40" s="260"/>
    </row>
    <row r="41" s="228" customFormat="1" ht="148.5" spans="1:20">
      <c r="A41" s="6">
        <v>38</v>
      </c>
      <c r="B41" s="246" t="s">
        <v>166</v>
      </c>
      <c r="C41" s="247" t="s">
        <v>265</v>
      </c>
      <c r="D41" s="248" t="s">
        <v>266</v>
      </c>
      <c r="E41" s="249" t="s">
        <v>196</v>
      </c>
      <c r="F41" s="256" t="s">
        <v>267</v>
      </c>
      <c r="G41" s="257" t="s">
        <v>268</v>
      </c>
      <c r="H41" s="258">
        <f t="shared" si="0"/>
        <v>163.07</v>
      </c>
      <c r="I41" s="258">
        <f t="shared" si="1"/>
        <v>3.26</v>
      </c>
      <c r="J41" s="258">
        <v>166.33</v>
      </c>
      <c r="K41" s="258">
        <f t="shared" si="2"/>
        <v>163.07</v>
      </c>
      <c r="L41" s="258">
        <f t="shared" si="3"/>
        <v>3.26</v>
      </c>
      <c r="M41" s="258">
        <v>166.33</v>
      </c>
      <c r="N41" s="254">
        <f t="shared" si="4"/>
        <v>0</v>
      </c>
      <c r="O41" s="255" t="s">
        <v>39</v>
      </c>
      <c r="Q41" s="260"/>
      <c r="R41" s="260"/>
    </row>
    <row r="42" s="228" customFormat="1" ht="82.5" spans="1:20">
      <c r="A42" s="6">
        <v>39</v>
      </c>
      <c r="B42" s="246" t="s">
        <v>166</v>
      </c>
      <c r="C42" s="247" t="s">
        <v>265</v>
      </c>
      <c r="D42" s="248" t="s">
        <v>269</v>
      </c>
      <c r="E42" s="249" t="s">
        <v>196</v>
      </c>
      <c r="F42" s="256" t="s">
        <v>270</v>
      </c>
      <c r="G42" s="257" t="s">
        <v>271</v>
      </c>
      <c r="H42" s="258">
        <f t="shared" si="0"/>
        <v>281.96</v>
      </c>
      <c r="I42" s="258">
        <f t="shared" si="1"/>
        <v>5.64</v>
      </c>
      <c r="J42" s="258">
        <f>28.76*10000/1000</f>
        <v>287.6</v>
      </c>
      <c r="K42" s="258">
        <f t="shared" si="2"/>
        <v>243.33</v>
      </c>
      <c r="L42" s="258">
        <f t="shared" si="3"/>
        <v>4.87</v>
      </c>
      <c r="M42" s="258">
        <f>24.82*10000/1000</f>
        <v>248.2</v>
      </c>
      <c r="N42" s="254">
        <f t="shared" si="4"/>
        <v>-0.136995827538248</v>
      </c>
      <c r="O42" s="259" t="s">
        <v>234</v>
      </c>
      <c r="Q42" s="260"/>
      <c r="R42" s="260"/>
    </row>
    <row r="43" s="228" customFormat="1" ht="115.5" spans="1:20">
      <c r="A43" s="6">
        <v>40</v>
      </c>
      <c r="B43" s="246" t="s">
        <v>166</v>
      </c>
      <c r="C43" s="247" t="s">
        <v>265</v>
      </c>
      <c r="D43" s="248" t="s">
        <v>272</v>
      </c>
      <c r="E43" s="249" t="s">
        <v>196</v>
      </c>
      <c r="F43" s="256" t="s">
        <v>273</v>
      </c>
      <c r="G43" s="257" t="s">
        <v>274</v>
      </c>
      <c r="H43" s="258">
        <f t="shared" si="0"/>
        <v>517.65</v>
      </c>
      <c r="I43" s="258">
        <f t="shared" si="1"/>
        <v>10.35</v>
      </c>
      <c r="J43" s="258">
        <v>528</v>
      </c>
      <c r="K43" s="258">
        <f t="shared" si="2"/>
        <v>346.08</v>
      </c>
      <c r="L43" s="258">
        <f t="shared" si="3"/>
        <v>6.92</v>
      </c>
      <c r="M43" s="258">
        <f>353000/1000</f>
        <v>353</v>
      </c>
      <c r="N43" s="254">
        <f t="shared" si="4"/>
        <v>-0.331439393939394</v>
      </c>
      <c r="O43" s="259" t="s">
        <v>275</v>
      </c>
      <c r="Q43" s="260"/>
      <c r="R43" s="260"/>
    </row>
    <row r="44" s="228" customFormat="1" ht="82.5" spans="1:20">
      <c r="A44" s="6">
        <v>41</v>
      </c>
      <c r="B44" s="246" t="s">
        <v>166</v>
      </c>
      <c r="C44" s="247" t="s">
        <v>265</v>
      </c>
      <c r="D44" s="248" t="s">
        <v>276</v>
      </c>
      <c r="E44" s="249" t="s">
        <v>196</v>
      </c>
      <c r="F44" s="256" t="s">
        <v>277</v>
      </c>
      <c r="G44" s="257" t="s">
        <v>274</v>
      </c>
      <c r="H44" s="258">
        <f t="shared" si="0"/>
        <v>683.82</v>
      </c>
      <c r="I44" s="258">
        <f t="shared" si="1"/>
        <v>13.68</v>
      </c>
      <c r="J44" s="258">
        <f>69.75*10000/1000</f>
        <v>697.5</v>
      </c>
      <c r="K44" s="258">
        <f t="shared" si="2"/>
        <v>619.41</v>
      </c>
      <c r="L44" s="258">
        <f t="shared" si="3"/>
        <v>12.39</v>
      </c>
      <c r="M44" s="258">
        <f>63.18*10000/1000</f>
        <v>631.8</v>
      </c>
      <c r="N44" s="254">
        <f t="shared" si="4"/>
        <v>-0.0941935483870968</v>
      </c>
      <c r="O44" s="259" t="s">
        <v>275</v>
      </c>
      <c r="Q44" s="260"/>
      <c r="R44" s="260"/>
    </row>
    <row r="45" s="228" customFormat="1" ht="99" spans="1:20">
      <c r="A45" s="6">
        <v>42</v>
      </c>
      <c r="B45" s="246" t="s">
        <v>166</v>
      </c>
      <c r="C45" s="247" t="s">
        <v>265</v>
      </c>
      <c r="D45" s="248" t="s">
        <v>278</v>
      </c>
      <c r="E45" s="249" t="s">
        <v>192</v>
      </c>
      <c r="F45" s="256" t="s">
        <v>279</v>
      </c>
      <c r="G45" s="257" t="s">
        <v>261</v>
      </c>
      <c r="H45" s="258">
        <f t="shared" si="0"/>
        <v>3688.15</v>
      </c>
      <c r="I45" s="258">
        <f t="shared" si="1"/>
        <v>73.76</v>
      </c>
      <c r="J45" s="258">
        <f>0.376191*10000</f>
        <v>3761.91</v>
      </c>
      <c r="K45" s="258">
        <f t="shared" si="2"/>
        <v>3650.17</v>
      </c>
      <c r="L45" s="258">
        <f t="shared" si="3"/>
        <v>73</v>
      </c>
      <c r="M45" s="258">
        <v>3723.17</v>
      </c>
      <c r="N45" s="254">
        <f t="shared" si="4"/>
        <v>-0.0102979603446121</v>
      </c>
      <c r="O45" s="259" t="s">
        <v>234</v>
      </c>
      <c r="Q45" s="260"/>
      <c r="R45" s="260"/>
    </row>
    <row r="46" s="228" customFormat="1" ht="66" spans="1:20">
      <c r="A46" s="6">
        <v>43</v>
      </c>
      <c r="B46" s="246" t="s">
        <v>166</v>
      </c>
      <c r="C46" s="247" t="s">
        <v>256</v>
      </c>
      <c r="D46" s="248" t="s">
        <v>280</v>
      </c>
      <c r="E46" s="249" t="s">
        <v>192</v>
      </c>
      <c r="F46" s="256" t="s">
        <v>281</v>
      </c>
      <c r="G46" s="257" t="s">
        <v>282</v>
      </c>
      <c r="H46" s="258">
        <f t="shared" si="0"/>
        <v>674.89</v>
      </c>
      <c r="I46" s="258">
        <f t="shared" si="1"/>
        <v>13.5</v>
      </c>
      <c r="J46" s="258">
        <f>0.068839*10000</f>
        <v>688.39</v>
      </c>
      <c r="K46" s="258">
        <f t="shared" si="2"/>
        <v>640.8</v>
      </c>
      <c r="L46" s="258">
        <f t="shared" si="3"/>
        <v>12.82</v>
      </c>
      <c r="M46" s="258">
        <v>653.62</v>
      </c>
      <c r="N46" s="254">
        <f t="shared" si="4"/>
        <v>-0.0505091590522814</v>
      </c>
      <c r="O46" s="259" t="s">
        <v>234</v>
      </c>
      <c r="Q46" s="260"/>
      <c r="R46" s="260"/>
    </row>
    <row r="47" s="228" customFormat="1" ht="48.95" customHeight="1" spans="1:20">
      <c r="A47" s="6">
        <v>44</v>
      </c>
      <c r="B47" s="246" t="s">
        <v>166</v>
      </c>
      <c r="C47" s="247" t="s">
        <v>256</v>
      </c>
      <c r="D47" s="267" t="s">
        <v>283</v>
      </c>
      <c r="E47" s="249" t="s">
        <v>192</v>
      </c>
      <c r="F47" s="262" t="s">
        <v>284</v>
      </c>
      <c r="G47" s="257" t="s">
        <v>285</v>
      </c>
      <c r="H47" s="258">
        <f t="shared" si="0"/>
        <v>2543.88</v>
      </c>
      <c r="I47" s="258">
        <f t="shared" si="1"/>
        <v>50.88</v>
      </c>
      <c r="J47" s="258">
        <v>2594.76</v>
      </c>
      <c r="K47" s="258">
        <f t="shared" si="2"/>
        <v>2543.88</v>
      </c>
      <c r="L47" s="258">
        <f t="shared" si="3"/>
        <v>50.88</v>
      </c>
      <c r="M47" s="258">
        <v>2594.76</v>
      </c>
      <c r="N47" s="254">
        <f t="shared" si="4"/>
        <v>0</v>
      </c>
      <c r="O47" s="255" t="s">
        <v>39</v>
      </c>
      <c r="Q47" s="260"/>
      <c r="R47" s="260"/>
    </row>
    <row r="48" s="228" customFormat="1" ht="48.95" customHeight="1" spans="1:20">
      <c r="A48" s="6">
        <v>45</v>
      </c>
      <c r="B48" s="246" t="s">
        <v>166</v>
      </c>
      <c r="C48" s="247" t="s">
        <v>256</v>
      </c>
      <c r="D48" s="267" t="s">
        <v>286</v>
      </c>
      <c r="E48" s="249" t="s">
        <v>192</v>
      </c>
      <c r="F48" s="263"/>
      <c r="G48" s="257" t="s">
        <v>287</v>
      </c>
      <c r="H48" s="258">
        <f t="shared" si="0"/>
        <v>2807.41</v>
      </c>
      <c r="I48" s="258">
        <f t="shared" si="1"/>
        <v>56.15</v>
      </c>
      <c r="J48" s="258">
        <v>2863.56</v>
      </c>
      <c r="K48" s="258">
        <f t="shared" si="2"/>
        <v>2807.41</v>
      </c>
      <c r="L48" s="258">
        <f t="shared" si="3"/>
        <v>56.15</v>
      </c>
      <c r="M48" s="258">
        <v>2863.56</v>
      </c>
      <c r="N48" s="254">
        <f t="shared" si="4"/>
        <v>0</v>
      </c>
      <c r="O48" s="255" t="s">
        <v>39</v>
      </c>
      <c r="Q48" s="260"/>
      <c r="R48" s="260"/>
    </row>
    <row r="49" s="228" customFormat="1" ht="48.95" customHeight="1" spans="1:18">
      <c r="A49" s="6">
        <v>46</v>
      </c>
      <c r="B49" s="246" t="s">
        <v>166</v>
      </c>
      <c r="C49" s="247" t="s">
        <v>265</v>
      </c>
      <c r="D49" s="267" t="s">
        <v>288</v>
      </c>
      <c r="E49" s="249" t="s">
        <v>192</v>
      </c>
      <c r="F49" s="263"/>
      <c r="G49" s="257" t="s">
        <v>289</v>
      </c>
      <c r="H49" s="258">
        <f t="shared" si="0"/>
        <v>3838.03</v>
      </c>
      <c r="I49" s="258">
        <f t="shared" si="1"/>
        <v>76.76</v>
      </c>
      <c r="J49" s="258">
        <v>3914.79</v>
      </c>
      <c r="K49" s="258">
        <f t="shared" si="2"/>
        <v>3838.03</v>
      </c>
      <c r="L49" s="258">
        <f t="shared" si="3"/>
        <v>76.76</v>
      </c>
      <c r="M49" s="258">
        <v>3914.79</v>
      </c>
      <c r="N49" s="254">
        <f t="shared" si="4"/>
        <v>0</v>
      </c>
      <c r="O49" s="255" t="s">
        <v>39</v>
      </c>
      <c r="Q49" s="260"/>
      <c r="R49" s="260"/>
    </row>
    <row r="50" s="228" customFormat="1" ht="48.95" customHeight="1" spans="1:18">
      <c r="A50" s="6">
        <v>47</v>
      </c>
      <c r="B50" s="246" t="s">
        <v>166</v>
      </c>
      <c r="C50" s="247" t="s">
        <v>265</v>
      </c>
      <c r="D50" s="267" t="s">
        <v>290</v>
      </c>
      <c r="E50" s="249" t="s">
        <v>192</v>
      </c>
      <c r="F50" s="265"/>
      <c r="G50" s="257" t="s">
        <v>291</v>
      </c>
      <c r="H50" s="258">
        <f t="shared" si="0"/>
        <v>4955.88</v>
      </c>
      <c r="I50" s="258">
        <f t="shared" si="1"/>
        <v>99.12</v>
      </c>
      <c r="J50" s="258">
        <v>5055</v>
      </c>
      <c r="K50" s="258">
        <f t="shared" si="2"/>
        <v>4955.88</v>
      </c>
      <c r="L50" s="258">
        <f t="shared" si="3"/>
        <v>99.12</v>
      </c>
      <c r="M50" s="258">
        <v>5055</v>
      </c>
      <c r="N50" s="254">
        <f t="shared" si="4"/>
        <v>0</v>
      </c>
      <c r="O50" s="255" t="s">
        <v>39</v>
      </c>
      <c r="Q50" s="260"/>
      <c r="R50" s="260"/>
    </row>
    <row r="51" s="228" customFormat="1" ht="66" spans="1:18">
      <c r="A51" s="6">
        <v>48</v>
      </c>
      <c r="B51" s="246" t="s">
        <v>166</v>
      </c>
      <c r="C51" s="247" t="s">
        <v>265</v>
      </c>
      <c r="D51" s="248" t="s">
        <v>292</v>
      </c>
      <c r="E51" s="249" t="s">
        <v>192</v>
      </c>
      <c r="F51" s="256" t="s">
        <v>293</v>
      </c>
      <c r="G51" s="257" t="s">
        <v>294</v>
      </c>
      <c r="H51" s="258">
        <f t="shared" si="0"/>
        <v>867.65</v>
      </c>
      <c r="I51" s="258">
        <f t="shared" si="1"/>
        <v>17.35</v>
      </c>
      <c r="J51" s="258">
        <v>885</v>
      </c>
      <c r="K51" s="258">
        <f t="shared" si="2"/>
        <v>867.65</v>
      </c>
      <c r="L51" s="258">
        <f t="shared" si="3"/>
        <v>17.35</v>
      </c>
      <c r="M51" s="258">
        <v>885</v>
      </c>
      <c r="N51" s="254">
        <f t="shared" si="4"/>
        <v>0</v>
      </c>
      <c r="O51" s="255" t="s">
        <v>39</v>
      </c>
      <c r="Q51" s="260"/>
      <c r="R51" s="260"/>
    </row>
    <row r="52" s="228" customFormat="1" ht="39.95" customHeight="1" spans="1:18">
      <c r="A52" s="6">
        <v>49</v>
      </c>
      <c r="B52" s="246" t="s">
        <v>166</v>
      </c>
      <c r="C52" s="247" t="s">
        <v>167</v>
      </c>
      <c r="D52" s="248" t="s">
        <v>295</v>
      </c>
      <c r="E52" s="249" t="s">
        <v>176</v>
      </c>
      <c r="F52" s="262" t="s">
        <v>296</v>
      </c>
      <c r="G52" s="257" t="s">
        <v>297</v>
      </c>
      <c r="H52" s="258">
        <f t="shared" si="0"/>
        <v>4058.73</v>
      </c>
      <c r="I52" s="258">
        <f t="shared" si="1"/>
        <v>81.17</v>
      </c>
      <c r="J52" s="258">
        <v>4139.9</v>
      </c>
      <c r="K52" s="258">
        <f t="shared" si="2"/>
        <v>4058.73</v>
      </c>
      <c r="L52" s="258">
        <f t="shared" si="3"/>
        <v>81.17</v>
      </c>
      <c r="M52" s="258">
        <v>4139.9</v>
      </c>
      <c r="N52" s="254">
        <f t="shared" si="4"/>
        <v>0</v>
      </c>
      <c r="O52" s="255" t="s">
        <v>39</v>
      </c>
      <c r="Q52" s="260"/>
      <c r="R52" s="260"/>
    </row>
    <row r="53" s="228" customFormat="1" ht="39.95" customHeight="1" spans="1:18">
      <c r="A53" s="6">
        <v>50</v>
      </c>
      <c r="B53" s="246" t="s">
        <v>166</v>
      </c>
      <c r="C53" s="247" t="s">
        <v>256</v>
      </c>
      <c r="D53" s="248" t="s">
        <v>298</v>
      </c>
      <c r="E53" s="249" t="s">
        <v>192</v>
      </c>
      <c r="F53" s="265"/>
      <c r="G53" s="257" t="s">
        <v>297</v>
      </c>
      <c r="H53" s="258">
        <f t="shared" si="0"/>
        <v>1417.25</v>
      </c>
      <c r="I53" s="258">
        <f t="shared" si="1"/>
        <v>28.35</v>
      </c>
      <c r="J53" s="258">
        <v>1445.6</v>
      </c>
      <c r="K53" s="258">
        <f t="shared" si="2"/>
        <v>1417.25</v>
      </c>
      <c r="L53" s="258">
        <f t="shared" si="3"/>
        <v>28.35</v>
      </c>
      <c r="M53" s="258">
        <v>1445.6</v>
      </c>
      <c r="N53" s="254">
        <f t="shared" si="4"/>
        <v>0</v>
      </c>
      <c r="O53" s="255" t="s">
        <v>39</v>
      </c>
      <c r="Q53" s="260"/>
      <c r="R53" s="260"/>
    </row>
    <row r="54" s="228" customFormat="1" ht="82.5" spans="1:18">
      <c r="A54" s="6">
        <v>51</v>
      </c>
      <c r="B54" s="246" t="s">
        <v>166</v>
      </c>
      <c r="C54" s="247" t="s">
        <v>256</v>
      </c>
      <c r="D54" s="248" t="s">
        <v>299</v>
      </c>
      <c r="E54" s="249" t="s">
        <v>192</v>
      </c>
      <c r="F54" s="265" t="s">
        <v>300</v>
      </c>
      <c r="G54" s="257" t="s">
        <v>301</v>
      </c>
      <c r="H54" s="258">
        <f t="shared" si="0"/>
        <v>1417.25</v>
      </c>
      <c r="I54" s="258">
        <f t="shared" si="1"/>
        <v>28.35</v>
      </c>
      <c r="J54" s="258">
        <v>1445.6</v>
      </c>
      <c r="K54" s="258">
        <f t="shared" si="2"/>
        <v>892.06</v>
      </c>
      <c r="L54" s="258">
        <f t="shared" si="3"/>
        <v>17.84</v>
      </c>
      <c r="M54" s="258">
        <v>909.9</v>
      </c>
      <c r="N54" s="254">
        <f t="shared" si="4"/>
        <v>-0.37057277255119</v>
      </c>
      <c r="O54" s="259" t="s">
        <v>234</v>
      </c>
      <c r="Q54" s="260"/>
      <c r="R54" s="260"/>
    </row>
    <row r="55" s="228" customFormat="1" ht="49.5" spans="1:18">
      <c r="A55" s="6">
        <v>52</v>
      </c>
      <c r="B55" s="246" t="s">
        <v>166</v>
      </c>
      <c r="C55" s="247" t="s">
        <v>256</v>
      </c>
      <c r="D55" s="248" t="s">
        <v>302</v>
      </c>
      <c r="E55" s="249" t="s">
        <v>180</v>
      </c>
      <c r="F55" s="256" t="s">
        <v>303</v>
      </c>
      <c r="G55" s="257" t="s">
        <v>304</v>
      </c>
      <c r="H55" s="258">
        <f t="shared" si="0"/>
        <v>1810.1</v>
      </c>
      <c r="I55" s="258">
        <f t="shared" si="1"/>
        <v>36.2</v>
      </c>
      <c r="J55" s="258">
        <v>1846.3</v>
      </c>
      <c r="K55" s="258">
        <f t="shared" si="2"/>
        <v>1810.1</v>
      </c>
      <c r="L55" s="258">
        <f t="shared" si="3"/>
        <v>36.2</v>
      </c>
      <c r="M55" s="258">
        <v>1846.3</v>
      </c>
      <c r="N55" s="254">
        <f t="shared" si="4"/>
        <v>0</v>
      </c>
      <c r="O55" s="255" t="s">
        <v>39</v>
      </c>
      <c r="Q55" s="260"/>
      <c r="R55" s="260"/>
    </row>
    <row r="56" s="228" customFormat="1" ht="49.5" spans="1:18">
      <c r="A56" s="6">
        <v>53</v>
      </c>
      <c r="B56" s="246" t="s">
        <v>166</v>
      </c>
      <c r="C56" s="247" t="s">
        <v>167</v>
      </c>
      <c r="D56" s="248" t="s">
        <v>305</v>
      </c>
      <c r="E56" s="249" t="s">
        <v>176</v>
      </c>
      <c r="F56" s="256" t="s">
        <v>306</v>
      </c>
      <c r="G56" s="257" t="s">
        <v>307</v>
      </c>
      <c r="H56" s="258">
        <f t="shared" si="0"/>
        <v>1395.1</v>
      </c>
      <c r="I56" s="258">
        <f t="shared" si="1"/>
        <v>27.9</v>
      </c>
      <c r="J56" s="258">
        <v>1423</v>
      </c>
      <c r="K56" s="258">
        <f t="shared" si="2"/>
        <v>1395.1</v>
      </c>
      <c r="L56" s="258">
        <f t="shared" si="3"/>
        <v>27.9</v>
      </c>
      <c r="M56" s="258">
        <v>1423</v>
      </c>
      <c r="N56" s="254">
        <f t="shared" si="4"/>
        <v>0</v>
      </c>
      <c r="O56" s="255" t="s">
        <v>39</v>
      </c>
      <c r="Q56" s="260"/>
      <c r="R56" s="260"/>
    </row>
    <row r="57" s="228" customFormat="1" ht="66" spans="1:18">
      <c r="A57" s="6">
        <v>54</v>
      </c>
      <c r="B57" s="246" t="s">
        <v>166</v>
      </c>
      <c r="C57" s="247" t="s">
        <v>167</v>
      </c>
      <c r="D57" s="248" t="s">
        <v>308</v>
      </c>
      <c r="E57" s="249" t="s">
        <v>309</v>
      </c>
      <c r="F57" s="256" t="s">
        <v>310</v>
      </c>
      <c r="G57" s="257" t="s">
        <v>311</v>
      </c>
      <c r="H57" s="258">
        <f t="shared" si="0"/>
        <v>65.98</v>
      </c>
      <c r="I57" s="258">
        <f t="shared" si="1"/>
        <v>1.32</v>
      </c>
      <c r="J57" s="258">
        <f>6.73*10</f>
        <v>67.3</v>
      </c>
      <c r="K57" s="258">
        <f t="shared" si="2"/>
        <v>65.96</v>
      </c>
      <c r="L57" s="258">
        <f t="shared" si="3"/>
        <v>1.32</v>
      </c>
      <c r="M57" s="258">
        <f>ROUND(672.81/10,2)</f>
        <v>67.28</v>
      </c>
      <c r="N57" s="254">
        <f t="shared" si="4"/>
        <v>-0.000297176820208176</v>
      </c>
      <c r="O57" s="255" t="s">
        <v>39</v>
      </c>
      <c r="Q57" s="260"/>
      <c r="R57" s="260"/>
    </row>
    <row r="58" ht="66" spans="1:18">
      <c r="A58" s="6">
        <v>55</v>
      </c>
      <c r="B58" s="246" t="s">
        <v>166</v>
      </c>
      <c r="C58" s="247" t="s">
        <v>265</v>
      </c>
      <c r="D58" s="248" t="s">
        <v>312</v>
      </c>
      <c r="E58" s="249" t="s">
        <v>192</v>
      </c>
      <c r="F58" s="250" t="s">
        <v>313</v>
      </c>
      <c r="G58" s="251" t="s">
        <v>314</v>
      </c>
      <c r="H58" s="252">
        <f t="shared" si="0"/>
        <v>687.61</v>
      </c>
      <c r="I58" s="252">
        <f t="shared" si="1"/>
        <v>13.75</v>
      </c>
      <c r="J58" s="252">
        <v>701.36</v>
      </c>
      <c r="K58" s="252">
        <f t="shared" si="2"/>
        <v>687.61</v>
      </c>
      <c r="L58" s="252">
        <f t="shared" si="3"/>
        <v>13.75</v>
      </c>
      <c r="M58" s="258">
        <f>ROUND(14027.1/20,2)</f>
        <v>701.36</v>
      </c>
      <c r="N58" s="254">
        <f t="shared" si="4"/>
        <v>0</v>
      </c>
      <c r="O58" s="255" t="s">
        <v>39</v>
      </c>
    </row>
    <row r="59" ht="82.5" spans="1:18">
      <c r="A59" s="6">
        <v>56</v>
      </c>
      <c r="B59" s="246" t="s">
        <v>166</v>
      </c>
      <c r="C59" s="247" t="s">
        <v>265</v>
      </c>
      <c r="D59" s="248" t="s">
        <v>315</v>
      </c>
      <c r="E59" s="249" t="s">
        <v>309</v>
      </c>
      <c r="F59" s="250" t="s">
        <v>316</v>
      </c>
      <c r="G59" s="251" t="s">
        <v>317</v>
      </c>
      <c r="H59" s="252">
        <f t="shared" si="0"/>
        <v>24.15</v>
      </c>
      <c r="I59" s="252">
        <f t="shared" si="1"/>
        <v>0.48</v>
      </c>
      <c r="J59" s="252">
        <f>2.463*10</f>
        <v>24.63</v>
      </c>
      <c r="K59" s="252">
        <f t="shared" si="2"/>
        <v>24.15</v>
      </c>
      <c r="L59" s="252">
        <f t="shared" si="3"/>
        <v>0.48</v>
      </c>
      <c r="M59" s="252">
        <f>ROUND(2463/100,2)</f>
        <v>24.63</v>
      </c>
      <c r="N59" s="254">
        <f t="shared" si="4"/>
        <v>0</v>
      </c>
      <c r="O59" s="255" t="s">
        <v>39</v>
      </c>
    </row>
    <row r="60" ht="49.5" spans="1:18">
      <c r="A60" s="6">
        <v>57</v>
      </c>
      <c r="B60" s="246" t="s">
        <v>166</v>
      </c>
      <c r="C60" s="247" t="s">
        <v>256</v>
      </c>
      <c r="D60" s="248" t="s">
        <v>318</v>
      </c>
      <c r="E60" s="249" t="s">
        <v>192</v>
      </c>
      <c r="F60" s="250" t="s">
        <v>319</v>
      </c>
      <c r="G60" s="251" t="s">
        <v>320</v>
      </c>
      <c r="H60" s="252">
        <f t="shared" si="0"/>
        <v>227.45</v>
      </c>
      <c r="I60" s="252">
        <f t="shared" si="1"/>
        <v>4.55</v>
      </c>
      <c r="J60" s="252">
        <v>232</v>
      </c>
      <c r="K60" s="252">
        <f t="shared" si="2"/>
        <v>227.45</v>
      </c>
      <c r="L60" s="252">
        <f t="shared" si="3"/>
        <v>4.55</v>
      </c>
      <c r="M60" s="252">
        <v>232</v>
      </c>
      <c r="N60" s="254">
        <f t="shared" si="4"/>
        <v>0</v>
      </c>
      <c r="O60" s="255" t="s">
        <v>39</v>
      </c>
    </row>
    <row r="61" ht="41.1" customHeight="1" spans="1:18">
      <c r="A61" s="6">
        <v>58</v>
      </c>
      <c r="B61" s="268" t="s">
        <v>166</v>
      </c>
      <c r="C61" s="269" t="s">
        <v>256</v>
      </c>
      <c r="D61" s="270" t="s">
        <v>321</v>
      </c>
      <c r="E61" s="271" t="s">
        <v>192</v>
      </c>
      <c r="F61" s="272" t="s">
        <v>284</v>
      </c>
      <c r="G61" s="273" t="s">
        <v>322</v>
      </c>
      <c r="H61" s="274">
        <f t="shared" si="0"/>
        <v>2216.15</v>
      </c>
      <c r="I61" s="274">
        <f t="shared" si="1"/>
        <v>44.32</v>
      </c>
      <c r="J61" s="274">
        <f>ROUND(4.52094*10000/20,2)</f>
        <v>2260.47</v>
      </c>
      <c r="K61" s="274">
        <f t="shared" si="2"/>
        <v>1986.37</v>
      </c>
      <c r="L61" s="274">
        <f t="shared" si="3"/>
        <v>39.73</v>
      </c>
      <c r="M61" s="275">
        <f>ROUND(4.05219*10000/20,2)</f>
        <v>2026.1</v>
      </c>
      <c r="N61" s="254">
        <f t="shared" si="4"/>
        <v>-0.103681977641818</v>
      </c>
      <c r="O61" s="276" t="s">
        <v>275</v>
      </c>
      <c r="P61" s="273"/>
      <c r="R61" s="277" t="s">
        <v>323</v>
      </c>
    </row>
    <row r="62" ht="41.1" customHeight="1" spans="1:18">
      <c r="A62" s="6">
        <v>59</v>
      </c>
      <c r="B62" s="268" t="s">
        <v>166</v>
      </c>
      <c r="C62" s="269" t="s">
        <v>256</v>
      </c>
      <c r="D62" s="270" t="s">
        <v>324</v>
      </c>
      <c r="E62" s="271" t="s">
        <v>192</v>
      </c>
      <c r="F62" s="272"/>
      <c r="G62" s="273" t="s">
        <v>325</v>
      </c>
      <c r="H62" s="274">
        <f t="shared" si="0"/>
        <v>2383.96</v>
      </c>
      <c r="I62" s="274">
        <f t="shared" si="1"/>
        <v>47.68</v>
      </c>
      <c r="J62" s="274">
        <f>ROUND(4.86328*10000/20,2)</f>
        <v>2431.64</v>
      </c>
      <c r="K62" s="274">
        <f t="shared" si="2"/>
        <v>2113.49</v>
      </c>
      <c r="L62" s="274">
        <f t="shared" si="3"/>
        <v>42.27</v>
      </c>
      <c r="M62" s="275">
        <f>ROUND(4.31151*10000/20,2)</f>
        <v>2155.76</v>
      </c>
      <c r="N62" s="254">
        <f t="shared" si="4"/>
        <v>-0.113454294221184</v>
      </c>
      <c r="O62" s="276" t="s">
        <v>275</v>
      </c>
      <c r="P62" s="273"/>
      <c r="R62" s="277" t="s">
        <v>323</v>
      </c>
    </row>
    <row r="63" ht="41.1" customHeight="1" spans="1:18">
      <c r="A63" s="6">
        <v>60</v>
      </c>
      <c r="B63" s="268" t="s">
        <v>166</v>
      </c>
      <c r="C63" s="269" t="s">
        <v>256</v>
      </c>
      <c r="D63" s="270" t="s">
        <v>326</v>
      </c>
      <c r="E63" s="271" t="s">
        <v>192</v>
      </c>
      <c r="F63" s="272"/>
      <c r="G63" s="273" t="s">
        <v>327</v>
      </c>
      <c r="H63" s="274">
        <f t="shared" si="0"/>
        <v>2597.06</v>
      </c>
      <c r="I63" s="274">
        <f t="shared" si="1"/>
        <v>51.94</v>
      </c>
      <c r="J63" s="274">
        <f>ROUND(5.29799*10000/20,2)</f>
        <v>2649</v>
      </c>
      <c r="K63" s="274">
        <f t="shared" si="2"/>
        <v>2293.18</v>
      </c>
      <c r="L63" s="274">
        <f t="shared" si="3"/>
        <v>45.86</v>
      </c>
      <c r="M63" s="275">
        <f>ROUND(4.67807*10000/20,2)</f>
        <v>2339.04</v>
      </c>
      <c r="N63" s="254">
        <f t="shared" si="4"/>
        <v>-0.117010192525481</v>
      </c>
      <c r="O63" s="276" t="s">
        <v>275</v>
      </c>
      <c r="P63" s="273"/>
      <c r="R63" s="277" t="s">
        <v>323</v>
      </c>
    </row>
    <row r="64" ht="85.5" spans="1:18">
      <c r="A64" s="6">
        <v>61</v>
      </c>
      <c r="B64" s="268" t="s">
        <v>166</v>
      </c>
      <c r="C64" s="269" t="s">
        <v>265</v>
      </c>
      <c r="D64" s="270" t="s">
        <v>328</v>
      </c>
      <c r="E64" s="271" t="s">
        <v>329</v>
      </c>
      <c r="F64" s="272" t="s">
        <v>330</v>
      </c>
      <c r="G64" s="273" t="s">
        <v>331</v>
      </c>
      <c r="H64" s="274">
        <f t="shared" si="0"/>
        <v>123.08</v>
      </c>
      <c r="I64" s="274">
        <f t="shared" si="1"/>
        <v>2.46</v>
      </c>
      <c r="J64" s="274">
        <f>ROUND(4.72342*10000/10/(37624.6882/1000),2)</f>
        <v>125.54</v>
      </c>
      <c r="K64" s="274">
        <f t="shared" si="2"/>
        <v>121.97</v>
      </c>
      <c r="L64" s="274">
        <f t="shared" si="3"/>
        <v>2.44</v>
      </c>
      <c r="M64" s="275">
        <f>ROUND(4.68076*10000/10/(37624.6882/1000),2)</f>
        <v>124.41</v>
      </c>
      <c r="N64" s="254">
        <f t="shared" si="4"/>
        <v>-0.00900111518241206</v>
      </c>
      <c r="O64" s="276" t="s">
        <v>234</v>
      </c>
      <c r="P64" s="273" t="s">
        <v>332</v>
      </c>
      <c r="R64" s="277" t="s">
        <v>323</v>
      </c>
    </row>
  </sheetData>
  <autoFilter xmlns:etc="http://www.wps.cn/officeDocument/2017/etCustomData" ref="A3:O64" etc:filterBottomFollowUsedRange="0">
    <extLst/>
  </autoFilter>
  <mergeCells count="22">
    <mergeCell ref="A1:O1"/>
    <mergeCell ref="H2:J2"/>
    <mergeCell ref="K2:M2"/>
    <mergeCell ref="A2:A3"/>
    <mergeCell ref="B2:B3"/>
    <mergeCell ref="C2:C3"/>
    <mergeCell ref="D2:D3"/>
    <mergeCell ref="E2:E3"/>
    <mergeCell ref="F2:F3"/>
    <mergeCell ref="F5:F6"/>
    <mergeCell ref="F11:F14"/>
    <mergeCell ref="F15:F19"/>
    <mergeCell ref="F21:F22"/>
    <mergeCell ref="F24:F30"/>
    <mergeCell ref="F31:F37"/>
    <mergeCell ref="F47:F50"/>
    <mergeCell ref="F52:F53"/>
    <mergeCell ref="F61:F63"/>
    <mergeCell ref="G2:G3"/>
    <mergeCell ref="G5:G6"/>
    <mergeCell ref="N2:N3"/>
    <mergeCell ref="O2:O3"/>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J101"/>
  <sheetViews>
    <sheetView tabSelected="1" topLeftCell="F1" workbookViewId="0">
      <pane ySplit="3" topLeftCell="A84" activePane="bottomLeft" state="frozenSplit"/>
      <selection/>
      <selection pane="bottomLeft" activeCell="AN90" sqref="AN90"/>
    </sheetView>
  </sheetViews>
  <sheetFormatPr defaultColWidth="9" defaultRowHeight="14.25"/>
  <cols>
    <col min="1" max="1" width="4.44166666666667" customWidth="1"/>
    <col min="2" max="2" width="26.25" style="105" customWidth="1"/>
    <col min="3" max="3" width="20.8916666666667" customWidth="1"/>
    <col min="4" max="4" width="11.8916666666667" customWidth="1"/>
    <col min="5" max="5" width="10.75" customWidth="1"/>
    <col min="6" max="6" width="67.5" style="105" customWidth="1"/>
    <col min="7" max="7" width="19.25" style="105" customWidth="1"/>
    <col min="8" max="8" width="11.75" style="169" hidden="1" customWidth="1"/>
    <col min="9" max="9" width="10.6333333333333" style="169" hidden="1" customWidth="1"/>
    <col min="10" max="10" width="9.38333333333333" style="169" hidden="1" customWidth="1"/>
    <col min="11" max="11" width="9" style="169" hidden="1" customWidth="1"/>
    <col min="12" max="12" width="10.75" style="169" hidden="1" customWidth="1"/>
    <col min="13" max="13" width="10.6333333333333" style="169" hidden="1" customWidth="1"/>
    <col min="14" max="14" width="10.25" style="169" hidden="1" customWidth="1"/>
    <col min="15" max="15" width="8.75" style="169" hidden="1" customWidth="1"/>
    <col min="16" max="16" width="10.3833333333333" style="169" hidden="1" customWidth="1"/>
    <col min="17" max="17" width="10.6333333333333" style="169" hidden="1" customWidth="1"/>
    <col min="18" max="18" width="10.8833333333333" style="169" hidden="1" customWidth="1"/>
    <col min="19" max="19" width="9.38333333333333" style="169" hidden="1" customWidth="1"/>
    <col min="20" max="20" width="10.25" style="169" hidden="1" customWidth="1"/>
    <col min="21" max="21" width="10.6333333333333" style="169" hidden="1" customWidth="1"/>
    <col min="22" max="23" width="10" style="169" hidden="1" customWidth="1"/>
    <col min="24" max="26" width="12.375" style="170" hidden="1" customWidth="1"/>
    <col min="27" max="27" width="9.75" style="169" hidden="1" customWidth="1"/>
    <col min="28" max="28" width="11" style="169" hidden="1" customWidth="1"/>
    <col min="29" max="29" width="10.6333333333333" style="169" hidden="1" customWidth="1"/>
    <col min="30" max="30" width="11.5" style="169" hidden="1" customWidth="1"/>
    <col min="31" max="31" width="8.63333333333333" style="169" hidden="1" customWidth="1"/>
    <col min="32" max="32" width="9.225" style="169" hidden="1" customWidth="1"/>
    <col min="33" max="33" width="10.375" style="169"/>
    <col min="34" max="34" width="8.875" style="169" customWidth="1"/>
    <col min="35" max="16344" width="8.75"/>
  </cols>
  <sheetData>
    <row r="1" spans="1:36">
      <c r="A1" s="171" t="s">
        <v>154</v>
      </c>
      <c r="B1" s="171" t="s">
        <v>333</v>
      </c>
      <c r="C1" s="171" t="s">
        <v>1</v>
      </c>
      <c r="D1" s="171" t="s">
        <v>334</v>
      </c>
      <c r="E1" s="172" t="s">
        <v>3</v>
      </c>
      <c r="F1" s="173" t="s">
        <v>4</v>
      </c>
      <c r="G1" s="173" t="s">
        <v>335</v>
      </c>
      <c r="H1" s="174" t="s">
        <v>336</v>
      </c>
      <c r="I1" s="174"/>
      <c r="J1" s="174"/>
      <c r="K1" s="174"/>
      <c r="L1" s="174" t="s">
        <v>337</v>
      </c>
      <c r="M1" s="174"/>
      <c r="N1" s="174"/>
      <c r="O1" s="174"/>
      <c r="P1" s="174" t="s">
        <v>338</v>
      </c>
      <c r="Q1" s="174"/>
      <c r="R1" s="174"/>
      <c r="S1" s="174"/>
      <c r="T1" s="174" t="s">
        <v>339</v>
      </c>
      <c r="U1" s="174"/>
      <c r="V1" s="174"/>
      <c r="W1" s="174"/>
      <c r="X1" s="175" t="s">
        <v>340</v>
      </c>
      <c r="Y1" s="175"/>
      <c r="Z1" s="175"/>
      <c r="AA1" s="174"/>
      <c r="AB1" s="174" t="s">
        <v>341</v>
      </c>
      <c r="AC1" s="174"/>
      <c r="AD1" s="174"/>
      <c r="AE1" s="174"/>
      <c r="AG1" s="176" t="s">
        <v>342</v>
      </c>
    </row>
    <row r="2" ht="44.1" customHeight="1" spans="1:36">
      <c r="A2" s="171"/>
      <c r="B2" s="171"/>
      <c r="C2" s="171"/>
      <c r="D2" s="171"/>
      <c r="E2" s="172"/>
      <c r="F2" s="173"/>
      <c r="G2" s="173"/>
      <c r="H2" s="177" t="s">
        <v>343</v>
      </c>
      <c r="I2" s="177"/>
      <c r="J2" s="177"/>
      <c r="K2" s="177"/>
      <c r="L2" s="178" t="s">
        <v>344</v>
      </c>
      <c r="M2" s="178"/>
      <c r="N2" s="178"/>
      <c r="O2" s="178"/>
      <c r="P2" s="178" t="s">
        <v>345</v>
      </c>
      <c r="Q2" s="178"/>
      <c r="R2" s="178"/>
      <c r="S2" s="178"/>
      <c r="T2" s="177" t="s">
        <v>346</v>
      </c>
      <c r="U2" s="177"/>
      <c r="V2" s="177"/>
      <c r="W2" s="177"/>
      <c r="X2" s="179" t="s">
        <v>347</v>
      </c>
      <c r="Y2" s="179"/>
      <c r="Z2" s="179"/>
      <c r="AA2" s="177"/>
      <c r="AB2" s="177" t="s">
        <v>348</v>
      </c>
      <c r="AC2" s="177"/>
      <c r="AD2" s="177"/>
      <c r="AE2" s="177"/>
      <c r="AG2" s="176"/>
      <c r="AH2" s="169" t="s">
        <v>349</v>
      </c>
    </row>
    <row r="3" s="105" customFormat="1" ht="67.5" spans="1:36">
      <c r="A3" s="180"/>
      <c r="B3" s="180"/>
      <c r="C3" s="180"/>
      <c r="D3" s="180"/>
      <c r="E3" s="181"/>
      <c r="F3" s="182"/>
      <c r="G3" s="182"/>
      <c r="H3" s="183" t="s">
        <v>350</v>
      </c>
      <c r="I3" s="183" t="s">
        <v>351</v>
      </c>
      <c r="J3" s="183" t="s">
        <v>352</v>
      </c>
      <c r="K3" s="183" t="s">
        <v>353</v>
      </c>
      <c r="L3" s="183" t="s">
        <v>350</v>
      </c>
      <c r="M3" s="183" t="s">
        <v>351</v>
      </c>
      <c r="N3" s="183" t="s">
        <v>352</v>
      </c>
      <c r="O3" s="183" t="s">
        <v>353</v>
      </c>
      <c r="P3" s="183" t="s">
        <v>350</v>
      </c>
      <c r="Q3" s="183" t="s">
        <v>351</v>
      </c>
      <c r="R3" s="183" t="s">
        <v>352</v>
      </c>
      <c r="S3" s="183" t="s">
        <v>353</v>
      </c>
      <c r="T3" s="183" t="s">
        <v>350</v>
      </c>
      <c r="U3" s="183" t="s">
        <v>351</v>
      </c>
      <c r="V3" s="183" t="s">
        <v>352</v>
      </c>
      <c r="W3" s="183" t="s">
        <v>353</v>
      </c>
      <c r="X3" s="184" t="s">
        <v>350</v>
      </c>
      <c r="Y3" s="184" t="s">
        <v>351</v>
      </c>
      <c r="Z3" s="184" t="s">
        <v>352</v>
      </c>
      <c r="AA3" s="183" t="s">
        <v>353</v>
      </c>
      <c r="AB3" s="183" t="s">
        <v>350</v>
      </c>
      <c r="AC3" s="183" t="s">
        <v>351</v>
      </c>
      <c r="AD3" s="183" t="s">
        <v>352</v>
      </c>
      <c r="AE3" s="183" t="s">
        <v>353</v>
      </c>
      <c r="AF3" s="185"/>
      <c r="AG3" s="176"/>
      <c r="AH3" s="185"/>
    </row>
    <row r="4" s="166" customFormat="1" ht="126" spans="1:36">
      <c r="A4" s="186">
        <v>1</v>
      </c>
      <c r="B4" s="187" t="s">
        <v>354</v>
      </c>
      <c r="C4" s="188" t="s">
        <v>355</v>
      </c>
      <c r="D4" s="188" t="s">
        <v>356</v>
      </c>
      <c r="E4" s="189" t="s">
        <v>357</v>
      </c>
      <c r="F4" s="190" t="s">
        <v>358</v>
      </c>
      <c r="G4" s="190" t="s">
        <v>359</v>
      </c>
      <c r="H4" s="191">
        <v>2223.1</v>
      </c>
      <c r="I4" s="191">
        <v>66.7</v>
      </c>
      <c r="J4" s="191">
        <v>2289.8</v>
      </c>
      <c r="K4" s="192">
        <v>0.09</v>
      </c>
      <c r="L4" s="191">
        <v>2223.1</v>
      </c>
      <c r="M4" s="191">
        <v>70.04</v>
      </c>
      <c r="N4" s="191">
        <v>2293.14</v>
      </c>
      <c r="O4" s="192">
        <v>0.09</v>
      </c>
      <c r="P4" s="191">
        <v>2223.1</v>
      </c>
      <c r="Q4" s="191">
        <v>73.37</v>
      </c>
      <c r="R4" s="191">
        <v>2296.47</v>
      </c>
      <c r="S4" s="192">
        <v>0.09</v>
      </c>
      <c r="T4" s="191">
        <v>2223.1</v>
      </c>
      <c r="U4" s="191">
        <v>76.71</v>
      </c>
      <c r="V4" s="191">
        <v>2299.81</v>
      </c>
      <c r="W4" s="192">
        <v>0.09</v>
      </c>
      <c r="X4" s="193">
        <v>2223.1</v>
      </c>
      <c r="Y4" s="193">
        <v>80.04</v>
      </c>
      <c r="Z4" s="193">
        <v>2303.14</v>
      </c>
      <c r="AA4" s="192">
        <v>0.09</v>
      </c>
      <c r="AB4" s="191">
        <v>2223.1</v>
      </c>
      <c r="AC4" s="191">
        <v>86.71</v>
      </c>
      <c r="AD4" s="191">
        <v>2309.81</v>
      </c>
      <c r="AE4" s="192">
        <v>0.09</v>
      </c>
      <c r="AF4" s="194">
        <v>2521.0038</v>
      </c>
      <c r="AG4" s="195">
        <f>(P4*0.915*1.1)+Q4</f>
        <v>2310.92015</v>
      </c>
      <c r="AH4" s="194">
        <f>(X4*0.915*1.2)+Y4</f>
        <v>2521.0038</v>
      </c>
      <c r="AI4" s="196"/>
      <c r="AJ4" s="196"/>
    </row>
    <row r="5" s="166" customFormat="1" ht="24" customHeight="1" spans="1:36">
      <c r="A5" s="186">
        <v>2</v>
      </c>
      <c r="B5" s="187" t="s">
        <v>360</v>
      </c>
      <c r="C5" s="188" t="s">
        <v>361</v>
      </c>
      <c r="D5" s="188" t="s">
        <v>362</v>
      </c>
      <c r="E5" s="189" t="s">
        <v>357</v>
      </c>
      <c r="F5" s="190" t="s">
        <v>363</v>
      </c>
      <c r="G5" s="190"/>
      <c r="H5" s="191">
        <v>2610.95</v>
      </c>
      <c r="I5" s="191">
        <v>78.33</v>
      </c>
      <c r="J5" s="191">
        <v>2689.28</v>
      </c>
      <c r="K5" s="192">
        <v>0.09</v>
      </c>
      <c r="L5" s="191">
        <v>2610.95</v>
      </c>
      <c r="M5" s="191">
        <v>82.25</v>
      </c>
      <c r="N5" s="191">
        <v>2693.2</v>
      </c>
      <c r="O5" s="192">
        <v>0.09</v>
      </c>
      <c r="P5" s="191">
        <v>2610.95</v>
      </c>
      <c r="Q5" s="191">
        <v>86.17</v>
      </c>
      <c r="R5" s="191">
        <v>2697.12</v>
      </c>
      <c r="S5" s="192">
        <v>0.09</v>
      </c>
      <c r="T5" s="191">
        <v>2610.95</v>
      </c>
      <c r="U5" s="191">
        <v>90.08</v>
      </c>
      <c r="V5" s="191">
        <v>2701.03</v>
      </c>
      <c r="W5" s="192">
        <v>0.09</v>
      </c>
      <c r="X5" s="193">
        <v>2610.95</v>
      </c>
      <c r="Y5" s="193">
        <v>94</v>
      </c>
      <c r="Z5" s="193">
        <v>2704.95</v>
      </c>
      <c r="AA5" s="192">
        <v>0.09</v>
      </c>
      <c r="AB5" s="191">
        <v>2610.95</v>
      </c>
      <c r="AC5" s="191">
        <v>101.83</v>
      </c>
      <c r="AD5" s="191">
        <v>2712.78</v>
      </c>
      <c r="AE5" s="192">
        <v>0.09</v>
      </c>
      <c r="AF5" s="194">
        <v>2960.8231</v>
      </c>
      <c r="AG5" s="195">
        <f t="shared" ref="AG5:AG47" si="0">(P5*0.915*1.1)+Q5</f>
        <v>2714.091175</v>
      </c>
      <c r="AH5" s="194">
        <f t="shared" ref="AH5:AH47" si="1">(X5*0.915*1.2)+Y5</f>
        <v>2960.8231</v>
      </c>
      <c r="AI5" s="196"/>
      <c r="AJ5" s="196"/>
    </row>
    <row r="6" s="166" customFormat="1" ht="24" customHeight="1" spans="1:36">
      <c r="A6" s="186">
        <v>3</v>
      </c>
      <c r="B6" s="187" t="s">
        <v>364</v>
      </c>
      <c r="C6" s="188" t="s">
        <v>365</v>
      </c>
      <c r="D6" s="188" t="s">
        <v>356</v>
      </c>
      <c r="E6" s="189" t="s">
        <v>357</v>
      </c>
      <c r="F6" s="190" t="s">
        <v>366</v>
      </c>
      <c r="G6" s="190"/>
      <c r="H6" s="191">
        <v>1668.89</v>
      </c>
      <c r="I6" s="191">
        <v>50.07</v>
      </c>
      <c r="J6" s="191">
        <v>1718.96</v>
      </c>
      <c r="K6" s="192">
        <v>0.09</v>
      </c>
      <c r="L6" s="191">
        <v>1668.89</v>
      </c>
      <c r="M6" s="191">
        <v>52.58</v>
      </c>
      <c r="N6" s="191">
        <v>1721.47</v>
      </c>
      <c r="O6" s="192">
        <v>0.09</v>
      </c>
      <c r="P6" s="191">
        <v>1668.89</v>
      </c>
      <c r="Q6" s="191">
        <v>55.08</v>
      </c>
      <c r="R6" s="191">
        <v>1723.97</v>
      </c>
      <c r="S6" s="192">
        <v>0.09</v>
      </c>
      <c r="T6" s="191">
        <v>1668.89</v>
      </c>
      <c r="U6" s="191">
        <v>57.59</v>
      </c>
      <c r="V6" s="191">
        <v>1726.48</v>
      </c>
      <c r="W6" s="192">
        <v>0.09</v>
      </c>
      <c r="X6" s="193">
        <v>1668.89</v>
      </c>
      <c r="Y6" s="193">
        <v>60.09</v>
      </c>
      <c r="Z6" s="193">
        <v>1728.98</v>
      </c>
      <c r="AA6" s="192">
        <v>0.09</v>
      </c>
      <c r="AB6" s="191">
        <v>1668.89</v>
      </c>
      <c r="AC6" s="191">
        <v>65.1</v>
      </c>
      <c r="AD6" s="191">
        <v>1733.99</v>
      </c>
      <c r="AE6" s="192">
        <v>0.09</v>
      </c>
      <c r="AF6" s="194">
        <v>1892.53122</v>
      </c>
      <c r="AG6" s="195">
        <f t="shared" si="0"/>
        <v>1734.817785</v>
      </c>
      <c r="AH6" s="194">
        <f t="shared" si="1"/>
        <v>1892.53122</v>
      </c>
      <c r="AI6" s="196"/>
      <c r="AJ6" s="196"/>
    </row>
    <row r="7" s="166" customFormat="1" ht="24" customHeight="1" spans="1:36">
      <c r="A7" s="186">
        <v>4</v>
      </c>
      <c r="B7" s="187" t="s">
        <v>367</v>
      </c>
      <c r="C7" s="188" t="s">
        <v>368</v>
      </c>
      <c r="D7" s="188" t="s">
        <v>362</v>
      </c>
      <c r="E7" s="189" t="s">
        <v>357</v>
      </c>
      <c r="F7" s="190" t="s">
        <v>369</v>
      </c>
      <c r="G7" s="190"/>
      <c r="H7" s="191">
        <v>1901.8</v>
      </c>
      <c r="I7" s="191">
        <v>57.06</v>
      </c>
      <c r="J7" s="191">
        <v>1958.86</v>
      </c>
      <c r="K7" s="192">
        <v>0.09</v>
      </c>
      <c r="L7" s="191">
        <v>1901.8</v>
      </c>
      <c r="M7" s="191">
        <v>59.92</v>
      </c>
      <c r="N7" s="191">
        <v>1961.72</v>
      </c>
      <c r="O7" s="192">
        <v>0.09</v>
      </c>
      <c r="P7" s="191">
        <v>1901.8</v>
      </c>
      <c r="Q7" s="191">
        <v>62.77</v>
      </c>
      <c r="R7" s="191">
        <v>1964.57</v>
      </c>
      <c r="S7" s="192">
        <v>0.09</v>
      </c>
      <c r="T7" s="191">
        <v>1901.8</v>
      </c>
      <c r="U7" s="191">
        <v>65.62</v>
      </c>
      <c r="V7" s="191">
        <v>1967.42</v>
      </c>
      <c r="W7" s="192">
        <v>0.09</v>
      </c>
      <c r="X7" s="193">
        <v>1901.8</v>
      </c>
      <c r="Y7" s="193">
        <v>68.48</v>
      </c>
      <c r="Z7" s="193">
        <v>1970.28</v>
      </c>
      <c r="AA7" s="192">
        <v>0.09</v>
      </c>
      <c r="AB7" s="191">
        <v>1901.8</v>
      </c>
      <c r="AC7" s="191">
        <v>74.18</v>
      </c>
      <c r="AD7" s="191">
        <v>1975.98</v>
      </c>
      <c r="AE7" s="192">
        <v>0.09</v>
      </c>
      <c r="AF7" s="194">
        <v>2156.6564</v>
      </c>
      <c r="AG7" s="195">
        <f t="shared" si="0"/>
        <v>1976.9317</v>
      </c>
      <c r="AH7" s="194">
        <f t="shared" si="1"/>
        <v>2156.6564</v>
      </c>
      <c r="AI7" s="196"/>
      <c r="AJ7" s="196"/>
    </row>
    <row r="8" s="166" customFormat="1" ht="24" customHeight="1" spans="1:36">
      <c r="A8" s="186">
        <v>5</v>
      </c>
      <c r="B8" s="187" t="s">
        <v>370</v>
      </c>
      <c r="C8" s="188" t="s">
        <v>371</v>
      </c>
      <c r="D8" s="188"/>
      <c r="E8" s="189" t="s">
        <v>357</v>
      </c>
      <c r="F8" s="190" t="s">
        <v>372</v>
      </c>
      <c r="G8" s="190"/>
      <c r="H8" s="191">
        <v>1552.43</v>
      </c>
      <c r="I8" s="191">
        <v>46.58</v>
      </c>
      <c r="J8" s="191">
        <v>1599.01</v>
      </c>
      <c r="K8" s="192">
        <v>0.09</v>
      </c>
      <c r="L8" s="191">
        <v>1552.43</v>
      </c>
      <c r="M8" s="191">
        <v>48.91</v>
      </c>
      <c r="N8" s="191">
        <v>1601.34</v>
      </c>
      <c r="O8" s="192">
        <v>0.09</v>
      </c>
      <c r="P8" s="191">
        <v>1552.43</v>
      </c>
      <c r="Q8" s="191">
        <v>51.24</v>
      </c>
      <c r="R8" s="191">
        <v>1603.67</v>
      </c>
      <c r="S8" s="192">
        <v>0.09</v>
      </c>
      <c r="T8" s="191">
        <v>1552.43</v>
      </c>
      <c r="U8" s="191">
        <v>53.57</v>
      </c>
      <c r="V8" s="191">
        <v>1606</v>
      </c>
      <c r="W8" s="192">
        <v>0.09</v>
      </c>
      <c r="X8" s="193">
        <v>1552.43</v>
      </c>
      <c r="Y8" s="193">
        <v>55.9</v>
      </c>
      <c r="Z8" s="193">
        <v>1608.33</v>
      </c>
      <c r="AA8" s="192">
        <v>0.09</v>
      </c>
      <c r="AB8" s="191">
        <v>1552.43</v>
      </c>
      <c r="AC8" s="191">
        <v>60.56</v>
      </c>
      <c r="AD8" s="191">
        <v>1612.99</v>
      </c>
      <c r="AE8" s="192">
        <v>0.09</v>
      </c>
      <c r="AF8" s="194">
        <v>1760.46814</v>
      </c>
      <c r="AG8" s="195">
        <f t="shared" si="0"/>
        <v>1613.760795</v>
      </c>
      <c r="AH8" s="194">
        <f t="shared" si="1"/>
        <v>1760.46814</v>
      </c>
      <c r="AI8" s="196"/>
      <c r="AJ8" s="196"/>
    </row>
    <row r="9" s="166" customFormat="1" ht="24" customHeight="1" spans="1:36">
      <c r="A9" s="186">
        <v>6</v>
      </c>
      <c r="B9" s="187" t="s">
        <v>373</v>
      </c>
      <c r="C9" s="188" t="s">
        <v>374</v>
      </c>
      <c r="D9" s="188"/>
      <c r="E9" s="189" t="s">
        <v>73</v>
      </c>
      <c r="F9" s="190" t="s">
        <v>375</v>
      </c>
      <c r="G9" s="190"/>
      <c r="H9" s="191">
        <v>1319.66</v>
      </c>
      <c r="I9" s="191">
        <v>39.59</v>
      </c>
      <c r="J9" s="191">
        <v>1359.25</v>
      </c>
      <c r="K9" s="192">
        <v>0.09</v>
      </c>
      <c r="L9" s="191">
        <v>1319.66</v>
      </c>
      <c r="M9" s="191">
        <v>41.57</v>
      </c>
      <c r="N9" s="191">
        <v>1361.23</v>
      </c>
      <c r="O9" s="192">
        <v>0.09</v>
      </c>
      <c r="P9" s="191">
        <v>1319.66</v>
      </c>
      <c r="Q9" s="191">
        <v>43.55</v>
      </c>
      <c r="R9" s="191">
        <v>1363.21</v>
      </c>
      <c r="S9" s="192">
        <v>0.09</v>
      </c>
      <c r="T9" s="191">
        <v>1319.66</v>
      </c>
      <c r="U9" s="191">
        <v>45.53</v>
      </c>
      <c r="V9" s="191">
        <v>1365.19</v>
      </c>
      <c r="W9" s="192">
        <v>0.09</v>
      </c>
      <c r="X9" s="193">
        <v>1319.66</v>
      </c>
      <c r="Y9" s="193">
        <v>47.51</v>
      </c>
      <c r="Z9" s="193">
        <v>1367.17</v>
      </c>
      <c r="AA9" s="192">
        <v>0.09</v>
      </c>
      <c r="AB9" s="191">
        <v>1319.66</v>
      </c>
      <c r="AC9" s="191">
        <v>51.47</v>
      </c>
      <c r="AD9" s="191">
        <v>1371.13</v>
      </c>
      <c r="AE9" s="192">
        <v>0.09</v>
      </c>
      <c r="AF9" s="194">
        <v>1496.49668</v>
      </c>
      <c r="AG9" s="195">
        <f t="shared" si="0"/>
        <v>1371.78779</v>
      </c>
      <c r="AH9" s="194">
        <f t="shared" si="1"/>
        <v>1496.49668</v>
      </c>
      <c r="AI9" s="196"/>
      <c r="AJ9" s="196"/>
    </row>
    <row r="10" s="166" customFormat="1" ht="24" customHeight="1" spans="1:36">
      <c r="A10" s="186">
        <v>7</v>
      </c>
      <c r="B10" s="187" t="s">
        <v>376</v>
      </c>
      <c r="C10" s="188" t="s">
        <v>377</v>
      </c>
      <c r="D10" s="188"/>
      <c r="E10" s="189" t="s">
        <v>378</v>
      </c>
      <c r="F10" s="190" t="s">
        <v>379</v>
      </c>
      <c r="G10" s="190"/>
      <c r="H10" s="191">
        <v>14854.37</v>
      </c>
      <c r="I10" s="191">
        <v>445.64</v>
      </c>
      <c r="J10" s="191">
        <v>15300.01</v>
      </c>
      <c r="K10" s="192">
        <v>0.09</v>
      </c>
      <c r="L10" s="191">
        <v>14854.37</v>
      </c>
      <c r="M10" s="191">
        <v>467.93</v>
      </c>
      <c r="N10" s="191">
        <v>15322.3</v>
      </c>
      <c r="O10" s="192">
        <v>0.09</v>
      </c>
      <c r="P10" s="191">
        <v>14854.37</v>
      </c>
      <c r="Q10" s="191">
        <v>490.21</v>
      </c>
      <c r="R10" s="191">
        <v>15344.58</v>
      </c>
      <c r="S10" s="192">
        <v>0.09</v>
      </c>
      <c r="T10" s="191">
        <v>14854.37</v>
      </c>
      <c r="U10" s="191">
        <v>512.49</v>
      </c>
      <c r="V10" s="191">
        <v>15366.86</v>
      </c>
      <c r="W10" s="192">
        <v>0.09</v>
      </c>
      <c r="X10" s="193">
        <v>14854.37</v>
      </c>
      <c r="Y10" s="193">
        <v>534.77</v>
      </c>
      <c r="Z10" s="193">
        <v>15389.14</v>
      </c>
      <c r="AA10" s="192">
        <v>0.09</v>
      </c>
      <c r="AB10" s="191">
        <v>14854.37</v>
      </c>
      <c r="AC10" s="191">
        <v>579.34</v>
      </c>
      <c r="AD10" s="191">
        <v>15433.71</v>
      </c>
      <c r="AE10" s="192">
        <v>0.09</v>
      </c>
      <c r="AF10" s="194">
        <v>16844.86826</v>
      </c>
      <c r="AG10" s="195">
        <f t="shared" si="0"/>
        <v>15441.133405</v>
      </c>
      <c r="AH10" s="194">
        <f t="shared" si="1"/>
        <v>16844.86826</v>
      </c>
      <c r="AI10" s="196"/>
      <c r="AJ10" s="196"/>
    </row>
    <row r="11" s="166" customFormat="1" ht="24" customHeight="1" spans="1:36">
      <c r="A11" s="186">
        <v>8</v>
      </c>
      <c r="B11" s="187" t="s">
        <v>380</v>
      </c>
      <c r="C11" s="188" t="s">
        <v>381</v>
      </c>
      <c r="D11" s="188" t="s">
        <v>382</v>
      </c>
      <c r="E11" s="189" t="s">
        <v>357</v>
      </c>
      <c r="F11" s="190" t="s">
        <v>383</v>
      </c>
      <c r="G11" s="190"/>
      <c r="H11" s="197">
        <v>2827.56</v>
      </c>
      <c r="I11" s="197">
        <v>84.83</v>
      </c>
      <c r="J11" s="191">
        <v>2912.39</v>
      </c>
      <c r="K11" s="192">
        <v>0.09</v>
      </c>
      <c r="L11" s="197">
        <v>2827.56</v>
      </c>
      <c r="M11" s="191">
        <v>89.08</v>
      </c>
      <c r="N11" s="191">
        <v>2916.64</v>
      </c>
      <c r="O11" s="192">
        <v>0.09</v>
      </c>
      <c r="P11" s="197">
        <v>2827.56</v>
      </c>
      <c r="Q11" s="191">
        <v>93.32</v>
      </c>
      <c r="R11" s="191">
        <v>2920.88</v>
      </c>
      <c r="S11" s="192">
        <v>0.09</v>
      </c>
      <c r="T11" s="197">
        <v>2827.56</v>
      </c>
      <c r="U11" s="191">
        <v>97.56</v>
      </c>
      <c r="V11" s="191">
        <v>2925.12</v>
      </c>
      <c r="W11" s="192">
        <v>0.09</v>
      </c>
      <c r="X11" s="198">
        <v>2827.56</v>
      </c>
      <c r="Y11" s="193">
        <v>101.8</v>
      </c>
      <c r="Z11" s="193">
        <v>2929.36</v>
      </c>
      <c r="AA11" s="192">
        <v>0.09</v>
      </c>
      <c r="AB11" s="197">
        <v>2827.56</v>
      </c>
      <c r="AC11" s="191">
        <v>110.28</v>
      </c>
      <c r="AD11" s="191">
        <v>2937.84</v>
      </c>
      <c r="AE11" s="192">
        <v>0.09</v>
      </c>
      <c r="AF11" s="194">
        <v>3206.46088</v>
      </c>
      <c r="AG11" s="195">
        <f t="shared" si="0"/>
        <v>2939.25914</v>
      </c>
      <c r="AH11" s="194">
        <f t="shared" si="1"/>
        <v>3206.46088</v>
      </c>
      <c r="AI11" s="196"/>
      <c r="AJ11" s="196"/>
    </row>
    <row r="12" s="166" customFormat="1" ht="24" customHeight="1" spans="1:36">
      <c r="A12" s="186">
        <v>9</v>
      </c>
      <c r="B12" s="187" t="s">
        <v>384</v>
      </c>
      <c r="C12" s="188" t="s">
        <v>385</v>
      </c>
      <c r="D12" s="188"/>
      <c r="E12" s="199" t="s">
        <v>357</v>
      </c>
      <c r="F12" s="190" t="s">
        <v>386</v>
      </c>
      <c r="G12" s="190"/>
      <c r="H12" s="191">
        <v>117.5</v>
      </c>
      <c r="I12" s="191">
        <v>3.53</v>
      </c>
      <c r="J12" s="191">
        <v>121.03</v>
      </c>
      <c r="K12" s="192">
        <v>0.09</v>
      </c>
      <c r="L12" s="191">
        <v>117.5</v>
      </c>
      <c r="M12" s="191">
        <v>3.71</v>
      </c>
      <c r="N12" s="191">
        <v>121.21</v>
      </c>
      <c r="O12" s="192">
        <v>0.09</v>
      </c>
      <c r="P12" s="191">
        <v>117.5</v>
      </c>
      <c r="Q12" s="191">
        <v>3.89</v>
      </c>
      <c r="R12" s="191">
        <v>121.39</v>
      </c>
      <c r="S12" s="192">
        <v>0.09</v>
      </c>
      <c r="T12" s="191">
        <v>117.5</v>
      </c>
      <c r="U12" s="191">
        <v>4.06</v>
      </c>
      <c r="V12" s="191">
        <v>121.56</v>
      </c>
      <c r="W12" s="192">
        <v>0.09</v>
      </c>
      <c r="X12" s="193">
        <v>117.5</v>
      </c>
      <c r="Y12" s="193">
        <v>4.24</v>
      </c>
      <c r="Z12" s="193">
        <v>121.74</v>
      </c>
      <c r="AA12" s="192">
        <v>0.09</v>
      </c>
      <c r="AB12" s="191">
        <v>117.5</v>
      </c>
      <c r="AC12" s="191">
        <v>4.59</v>
      </c>
      <c r="AD12" s="191">
        <v>122.09</v>
      </c>
      <c r="AE12" s="192">
        <v>0.09</v>
      </c>
      <c r="AF12" s="194">
        <v>133.255</v>
      </c>
      <c r="AG12" s="195">
        <f t="shared" si="0"/>
        <v>122.15375</v>
      </c>
      <c r="AH12" s="194">
        <f t="shared" si="1"/>
        <v>133.255</v>
      </c>
      <c r="AI12" s="196"/>
      <c r="AJ12" s="196"/>
    </row>
    <row r="13" s="166" customFormat="1" ht="24" customHeight="1" spans="1:36">
      <c r="A13" s="186">
        <v>10</v>
      </c>
      <c r="B13" s="187" t="s">
        <v>387</v>
      </c>
      <c r="C13" s="188" t="s">
        <v>388</v>
      </c>
      <c r="D13" s="188" t="s">
        <v>389</v>
      </c>
      <c r="E13" s="189" t="s">
        <v>390</v>
      </c>
      <c r="F13" s="190" t="s">
        <v>391</v>
      </c>
      <c r="G13" s="190"/>
      <c r="H13" s="191">
        <v>3225.38</v>
      </c>
      <c r="I13" s="191">
        <v>96.77</v>
      </c>
      <c r="J13" s="191">
        <v>3322.15</v>
      </c>
      <c r="K13" s="192">
        <v>0.09</v>
      </c>
      <c r="L13" s="191">
        <v>3225.38</v>
      </c>
      <c r="M13" s="191">
        <v>101.61</v>
      </c>
      <c r="N13" s="191">
        <v>3326.99</v>
      </c>
      <c r="O13" s="192">
        <v>0.09</v>
      </c>
      <c r="P13" s="191">
        <v>3225.38</v>
      </c>
      <c r="Q13" s="191">
        <v>106.45</v>
      </c>
      <c r="R13" s="191">
        <v>3331.83</v>
      </c>
      <c r="S13" s="192">
        <v>0.09</v>
      </c>
      <c r="T13" s="191">
        <v>3225.38</v>
      </c>
      <c r="U13" s="191">
        <v>111.29</v>
      </c>
      <c r="V13" s="191">
        <v>3336.67</v>
      </c>
      <c r="W13" s="192">
        <v>0.09</v>
      </c>
      <c r="X13" s="193">
        <v>3225.38</v>
      </c>
      <c r="Y13" s="193">
        <v>116.13</v>
      </c>
      <c r="Z13" s="193">
        <v>3341.51</v>
      </c>
      <c r="AA13" s="192">
        <v>0.09</v>
      </c>
      <c r="AB13" s="191">
        <v>3225.38</v>
      </c>
      <c r="AC13" s="191">
        <v>125.81</v>
      </c>
      <c r="AD13" s="191">
        <v>3351.19</v>
      </c>
      <c r="AE13" s="192">
        <v>0.09</v>
      </c>
      <c r="AF13" s="194">
        <v>3657.59724</v>
      </c>
      <c r="AG13" s="195">
        <f t="shared" si="0"/>
        <v>3352.79497</v>
      </c>
      <c r="AH13" s="194">
        <f t="shared" si="1"/>
        <v>3657.59724</v>
      </c>
      <c r="AI13" s="196"/>
      <c r="AJ13" s="196"/>
    </row>
    <row r="14" s="166" customFormat="1" ht="24" customHeight="1" spans="1:36">
      <c r="A14" s="186">
        <v>11</v>
      </c>
      <c r="B14" s="187" t="s">
        <v>392</v>
      </c>
      <c r="C14" s="188" t="s">
        <v>388</v>
      </c>
      <c r="D14" s="188" t="s">
        <v>393</v>
      </c>
      <c r="E14" s="189" t="s">
        <v>390</v>
      </c>
      <c r="F14" s="190" t="s">
        <v>394</v>
      </c>
      <c r="G14" s="190"/>
      <c r="H14" s="191">
        <v>2928.29</v>
      </c>
      <c r="I14" s="191">
        <v>87.85</v>
      </c>
      <c r="J14" s="191">
        <v>3016.14</v>
      </c>
      <c r="K14" s="192">
        <v>0.09</v>
      </c>
      <c r="L14" s="191">
        <v>2928.29</v>
      </c>
      <c r="M14" s="191">
        <v>92.25</v>
      </c>
      <c r="N14" s="191">
        <v>3020.54</v>
      </c>
      <c r="O14" s="192">
        <v>0.09</v>
      </c>
      <c r="P14" s="191">
        <v>2928.29</v>
      </c>
      <c r="Q14" s="191">
        <v>96.64</v>
      </c>
      <c r="R14" s="191">
        <v>3024.93</v>
      </c>
      <c r="S14" s="192">
        <v>0.09</v>
      </c>
      <c r="T14" s="191">
        <v>2928.29</v>
      </c>
      <c r="U14" s="191">
        <v>101.03</v>
      </c>
      <c r="V14" s="191">
        <v>3029.32</v>
      </c>
      <c r="W14" s="192">
        <v>0.09</v>
      </c>
      <c r="X14" s="193">
        <v>2928.29</v>
      </c>
      <c r="Y14" s="193">
        <v>105.42</v>
      </c>
      <c r="Z14" s="193">
        <v>3033.71</v>
      </c>
      <c r="AA14" s="192">
        <v>0.09</v>
      </c>
      <c r="AB14" s="191">
        <v>2928.29</v>
      </c>
      <c r="AC14" s="191">
        <v>114.21</v>
      </c>
      <c r="AD14" s="191">
        <v>3042.5</v>
      </c>
      <c r="AE14" s="192">
        <v>0.09</v>
      </c>
      <c r="AF14" s="194">
        <v>3320.68242</v>
      </c>
      <c r="AG14" s="195">
        <f t="shared" si="0"/>
        <v>3043.963885</v>
      </c>
      <c r="AH14" s="194">
        <f t="shared" si="1"/>
        <v>3320.68242</v>
      </c>
      <c r="AI14" s="196"/>
      <c r="AJ14" s="196"/>
    </row>
    <row r="15" s="166" customFormat="1" ht="24" customHeight="1" spans="1:36">
      <c r="A15" s="186">
        <v>12</v>
      </c>
      <c r="B15" s="187" t="s">
        <v>395</v>
      </c>
      <c r="C15" s="188" t="s">
        <v>396</v>
      </c>
      <c r="D15" s="188" t="s">
        <v>397</v>
      </c>
      <c r="E15" s="189" t="s">
        <v>390</v>
      </c>
      <c r="F15" s="190" t="s">
        <v>398</v>
      </c>
      <c r="G15" s="190"/>
      <c r="H15" s="197">
        <v>893.32</v>
      </c>
      <c r="I15" s="197">
        <v>26.8</v>
      </c>
      <c r="J15" s="191">
        <v>920.12</v>
      </c>
      <c r="K15" s="192">
        <v>0.09</v>
      </c>
      <c r="L15" s="197">
        <v>893.32</v>
      </c>
      <c r="M15" s="191">
        <v>28.14</v>
      </c>
      <c r="N15" s="191">
        <v>921.46</v>
      </c>
      <c r="O15" s="192">
        <v>0.09</v>
      </c>
      <c r="P15" s="197">
        <v>893.32</v>
      </c>
      <c r="Q15" s="191">
        <v>29.48</v>
      </c>
      <c r="R15" s="191">
        <v>922.8</v>
      </c>
      <c r="S15" s="192">
        <v>0.09</v>
      </c>
      <c r="T15" s="197">
        <v>893.32</v>
      </c>
      <c r="U15" s="191">
        <v>30.82</v>
      </c>
      <c r="V15" s="191">
        <v>924.14</v>
      </c>
      <c r="W15" s="192">
        <v>0.09</v>
      </c>
      <c r="X15" s="198">
        <v>893.32</v>
      </c>
      <c r="Y15" s="193">
        <v>32.16</v>
      </c>
      <c r="Z15" s="193">
        <v>925.48</v>
      </c>
      <c r="AA15" s="192">
        <v>0.09</v>
      </c>
      <c r="AB15" s="197">
        <v>893.32</v>
      </c>
      <c r="AC15" s="191">
        <v>34.84</v>
      </c>
      <c r="AD15" s="191">
        <v>928.16</v>
      </c>
      <c r="AE15" s="192">
        <v>0.09</v>
      </c>
      <c r="AF15" s="194">
        <v>1013.02536</v>
      </c>
      <c r="AG15" s="195">
        <f t="shared" si="0"/>
        <v>928.60658</v>
      </c>
      <c r="AH15" s="194">
        <f t="shared" si="1"/>
        <v>1013.02536</v>
      </c>
      <c r="AI15" s="196"/>
      <c r="AJ15" s="196"/>
    </row>
    <row r="16" s="166" customFormat="1" ht="24" customHeight="1" spans="1:36">
      <c r="A16" s="186">
        <v>13</v>
      </c>
      <c r="B16" s="200" t="s">
        <v>399</v>
      </c>
      <c r="C16" s="188" t="s">
        <v>400</v>
      </c>
      <c r="D16" s="188"/>
      <c r="E16" s="189" t="s">
        <v>357</v>
      </c>
      <c r="F16" s="190" t="s">
        <v>401</v>
      </c>
      <c r="G16" s="190" t="s">
        <v>402</v>
      </c>
      <c r="H16" s="191">
        <v>386.21</v>
      </c>
      <c r="I16" s="191">
        <v>11.59</v>
      </c>
      <c r="J16" s="191">
        <v>397.8</v>
      </c>
      <c r="K16" s="192">
        <v>0.09</v>
      </c>
      <c r="L16" s="191">
        <v>386.21</v>
      </c>
      <c r="M16" s="191">
        <v>12.17</v>
      </c>
      <c r="N16" s="191">
        <v>398.38</v>
      </c>
      <c r="O16" s="192">
        <v>0.09</v>
      </c>
      <c r="P16" s="191">
        <v>386.21</v>
      </c>
      <c r="Q16" s="191">
        <v>12.75</v>
      </c>
      <c r="R16" s="191">
        <v>398.96</v>
      </c>
      <c r="S16" s="192">
        <v>0.09</v>
      </c>
      <c r="T16" s="191">
        <v>386.21</v>
      </c>
      <c r="U16" s="191">
        <v>13.33</v>
      </c>
      <c r="V16" s="191">
        <v>399.54</v>
      </c>
      <c r="W16" s="192">
        <v>0.09</v>
      </c>
      <c r="X16" s="193">
        <v>386.21</v>
      </c>
      <c r="Y16" s="193">
        <v>13.91</v>
      </c>
      <c r="Z16" s="193">
        <v>400.12</v>
      </c>
      <c r="AA16" s="192">
        <v>0.09</v>
      </c>
      <c r="AB16" s="191">
        <v>386.21</v>
      </c>
      <c r="AC16" s="191">
        <v>15.07</v>
      </c>
      <c r="AD16" s="191">
        <v>401.28</v>
      </c>
      <c r="AE16" s="192">
        <v>0.09</v>
      </c>
      <c r="AF16" s="194">
        <v>437.96858</v>
      </c>
      <c r="AG16" s="195">
        <f t="shared" si="0"/>
        <v>401.470365</v>
      </c>
      <c r="AH16" s="194">
        <f t="shared" si="1"/>
        <v>437.96858</v>
      </c>
      <c r="AI16" s="196"/>
      <c r="AJ16" s="196"/>
    </row>
    <row r="17" s="166" customFormat="1" ht="24" customHeight="1" spans="1:36">
      <c r="A17" s="186">
        <v>14</v>
      </c>
      <c r="B17" s="187" t="s">
        <v>403</v>
      </c>
      <c r="C17" s="188" t="s">
        <v>404</v>
      </c>
      <c r="D17" s="188"/>
      <c r="E17" s="189" t="s">
        <v>357</v>
      </c>
      <c r="F17" s="190" t="s">
        <v>405</v>
      </c>
      <c r="G17" s="190" t="s">
        <v>406</v>
      </c>
      <c r="H17" s="191">
        <v>59.42</v>
      </c>
      <c r="I17" s="191">
        <v>1.79</v>
      </c>
      <c r="J17" s="191">
        <v>61.21</v>
      </c>
      <c r="K17" s="192">
        <v>0.09</v>
      </c>
      <c r="L17" s="191">
        <v>59.42</v>
      </c>
      <c r="M17" s="191">
        <v>1.88</v>
      </c>
      <c r="N17" s="191">
        <v>61.3</v>
      </c>
      <c r="O17" s="192">
        <v>0.09</v>
      </c>
      <c r="P17" s="191">
        <v>59.42</v>
      </c>
      <c r="Q17" s="191">
        <v>1.97</v>
      </c>
      <c r="R17" s="191">
        <v>61.39</v>
      </c>
      <c r="S17" s="192">
        <v>0.09</v>
      </c>
      <c r="T17" s="191">
        <v>59.42</v>
      </c>
      <c r="U17" s="191">
        <v>2.06</v>
      </c>
      <c r="V17" s="191">
        <v>61.48</v>
      </c>
      <c r="W17" s="192">
        <v>0.09</v>
      </c>
      <c r="X17" s="193">
        <v>59.42</v>
      </c>
      <c r="Y17" s="193">
        <v>2.15</v>
      </c>
      <c r="Z17" s="193">
        <v>61.57</v>
      </c>
      <c r="AA17" s="192">
        <v>0.09</v>
      </c>
      <c r="AB17" s="191">
        <v>59.42</v>
      </c>
      <c r="AC17" s="191">
        <v>2.33</v>
      </c>
      <c r="AD17" s="191">
        <v>61.75</v>
      </c>
      <c r="AE17" s="192">
        <v>0.09</v>
      </c>
      <c r="AF17" s="194">
        <v>67.39316</v>
      </c>
      <c r="AG17" s="195">
        <f t="shared" si="0"/>
        <v>61.77623</v>
      </c>
      <c r="AH17" s="194">
        <f t="shared" si="1"/>
        <v>67.39316</v>
      </c>
      <c r="AI17" s="196"/>
      <c r="AJ17" s="196"/>
    </row>
    <row r="18" s="166" customFormat="1" ht="24" customHeight="1" spans="1:36">
      <c r="A18" s="186">
        <v>15</v>
      </c>
      <c r="B18" s="187" t="s">
        <v>407</v>
      </c>
      <c r="C18" s="188" t="s">
        <v>408</v>
      </c>
      <c r="D18" s="188"/>
      <c r="E18" s="189" t="s">
        <v>357</v>
      </c>
      <c r="F18" s="190" t="s">
        <v>409</v>
      </c>
      <c r="G18" s="190"/>
      <c r="H18" s="191">
        <v>564.47</v>
      </c>
      <c r="I18" s="191">
        <v>16.94</v>
      </c>
      <c r="J18" s="191">
        <v>581.41</v>
      </c>
      <c r="K18" s="192">
        <v>0.09</v>
      </c>
      <c r="L18" s="191">
        <v>564.47</v>
      </c>
      <c r="M18" s="191">
        <v>17.79</v>
      </c>
      <c r="N18" s="191">
        <v>582.26</v>
      </c>
      <c r="O18" s="192">
        <v>0.09</v>
      </c>
      <c r="P18" s="191">
        <v>564.47</v>
      </c>
      <c r="Q18" s="191">
        <v>18.64</v>
      </c>
      <c r="R18" s="191">
        <v>583.11</v>
      </c>
      <c r="S18" s="192">
        <v>0.09</v>
      </c>
      <c r="T18" s="191">
        <v>564.47</v>
      </c>
      <c r="U18" s="191">
        <v>19.49</v>
      </c>
      <c r="V18" s="191">
        <v>583.96</v>
      </c>
      <c r="W18" s="192">
        <v>0.09</v>
      </c>
      <c r="X18" s="193">
        <v>564.47</v>
      </c>
      <c r="Y18" s="193">
        <v>20.33</v>
      </c>
      <c r="Z18" s="193">
        <v>584.8</v>
      </c>
      <c r="AA18" s="192">
        <v>0.09</v>
      </c>
      <c r="AB18" s="191">
        <v>564.47</v>
      </c>
      <c r="AC18" s="191">
        <v>22.03</v>
      </c>
      <c r="AD18" s="191">
        <v>586.5</v>
      </c>
      <c r="AE18" s="192">
        <v>0.09</v>
      </c>
      <c r="AF18" s="194">
        <v>640.11806</v>
      </c>
      <c r="AG18" s="195">
        <f t="shared" si="0"/>
        <v>586.779055</v>
      </c>
      <c r="AH18" s="194">
        <f t="shared" si="1"/>
        <v>640.11806</v>
      </c>
      <c r="AI18" s="196"/>
      <c r="AJ18" s="196"/>
    </row>
    <row r="19" s="166" customFormat="1" ht="24" customHeight="1" spans="1:36">
      <c r="A19" s="186">
        <v>16</v>
      </c>
      <c r="B19" s="187" t="s">
        <v>410</v>
      </c>
      <c r="C19" s="188" t="s">
        <v>411</v>
      </c>
      <c r="D19" s="188"/>
      <c r="E19" s="189" t="s">
        <v>412</v>
      </c>
      <c r="F19" s="190" t="s">
        <v>413</v>
      </c>
      <c r="G19" s="190"/>
      <c r="H19" s="191">
        <v>384.23</v>
      </c>
      <c r="I19" s="191">
        <v>11.53</v>
      </c>
      <c r="J19" s="191">
        <v>395.76</v>
      </c>
      <c r="K19" s="192">
        <v>0.09</v>
      </c>
      <c r="L19" s="191">
        <v>384.23</v>
      </c>
      <c r="M19" s="191">
        <v>12.11</v>
      </c>
      <c r="N19" s="191">
        <v>396.34</v>
      </c>
      <c r="O19" s="192">
        <v>0.09</v>
      </c>
      <c r="P19" s="191">
        <v>384.23</v>
      </c>
      <c r="Q19" s="191">
        <v>12.69</v>
      </c>
      <c r="R19" s="191">
        <v>396.92</v>
      </c>
      <c r="S19" s="192">
        <v>0.09</v>
      </c>
      <c r="T19" s="191">
        <v>384.23</v>
      </c>
      <c r="U19" s="191">
        <v>13.26</v>
      </c>
      <c r="V19" s="191">
        <v>397.49</v>
      </c>
      <c r="W19" s="192">
        <v>0.09</v>
      </c>
      <c r="X19" s="193">
        <v>384.23</v>
      </c>
      <c r="Y19" s="193">
        <v>13.84</v>
      </c>
      <c r="Z19" s="193">
        <v>398.07</v>
      </c>
      <c r="AA19" s="192">
        <v>0.09</v>
      </c>
      <c r="AB19" s="191">
        <v>384.23</v>
      </c>
      <c r="AC19" s="191">
        <v>14.99</v>
      </c>
      <c r="AD19" s="191">
        <v>399.22</v>
      </c>
      <c r="AE19" s="192">
        <v>0.09</v>
      </c>
      <c r="AF19" s="194">
        <v>435.72454</v>
      </c>
      <c r="AG19" s="195">
        <f t="shared" si="0"/>
        <v>399.417495</v>
      </c>
      <c r="AH19" s="194">
        <f t="shared" si="1"/>
        <v>435.72454</v>
      </c>
      <c r="AI19" s="196"/>
      <c r="AJ19" s="196"/>
    </row>
    <row r="20" s="166" customFormat="1" ht="24" customHeight="1" spans="1:36">
      <c r="A20" s="186">
        <v>17</v>
      </c>
      <c r="B20" s="187" t="s">
        <v>414</v>
      </c>
      <c r="C20" s="188" t="s">
        <v>415</v>
      </c>
      <c r="D20" s="188"/>
      <c r="E20" s="189" t="s">
        <v>76</v>
      </c>
      <c r="F20" s="190" t="s">
        <v>416</v>
      </c>
      <c r="G20" s="190"/>
      <c r="H20" s="191">
        <v>760.54</v>
      </c>
      <c r="I20" s="191">
        <v>22.82</v>
      </c>
      <c r="J20" s="191">
        <v>783.36</v>
      </c>
      <c r="K20" s="192">
        <v>0.09</v>
      </c>
      <c r="L20" s="191">
        <v>760.54</v>
      </c>
      <c r="M20" s="191">
        <v>23.97</v>
      </c>
      <c r="N20" s="191">
        <v>784.51</v>
      </c>
      <c r="O20" s="192">
        <v>0.09</v>
      </c>
      <c r="P20" s="191">
        <v>760.54</v>
      </c>
      <c r="Q20" s="191">
        <v>25.11</v>
      </c>
      <c r="R20" s="191">
        <v>785.65</v>
      </c>
      <c r="S20" s="192">
        <v>0.09</v>
      </c>
      <c r="T20" s="191">
        <v>760.54</v>
      </c>
      <c r="U20" s="191">
        <v>26.25</v>
      </c>
      <c r="V20" s="191">
        <v>786.79</v>
      </c>
      <c r="W20" s="192">
        <v>0.09</v>
      </c>
      <c r="X20" s="193">
        <v>760.54</v>
      </c>
      <c r="Y20" s="193">
        <v>27.39</v>
      </c>
      <c r="Z20" s="193">
        <v>787.93</v>
      </c>
      <c r="AA20" s="192">
        <v>0.09</v>
      </c>
      <c r="AB20" s="191">
        <v>760.54</v>
      </c>
      <c r="AC20" s="191">
        <v>29.67</v>
      </c>
      <c r="AD20" s="191">
        <v>790.21</v>
      </c>
      <c r="AE20" s="192">
        <v>0.09</v>
      </c>
      <c r="AF20" s="194">
        <v>862.46292</v>
      </c>
      <c r="AG20" s="195">
        <f t="shared" si="0"/>
        <v>790.59351</v>
      </c>
      <c r="AH20" s="194">
        <f t="shared" si="1"/>
        <v>862.46292</v>
      </c>
      <c r="AI20" s="196"/>
      <c r="AJ20" s="196"/>
    </row>
    <row r="21" s="166" customFormat="1" ht="24" customHeight="1" spans="1:36">
      <c r="A21" s="186">
        <v>18</v>
      </c>
      <c r="B21" s="187" t="s">
        <v>417</v>
      </c>
      <c r="C21" s="188" t="s">
        <v>418</v>
      </c>
      <c r="D21" s="188"/>
      <c r="E21" s="189" t="s">
        <v>73</v>
      </c>
      <c r="F21" s="190" t="s">
        <v>419</v>
      </c>
      <c r="G21" s="190"/>
      <c r="H21" s="191">
        <v>1668.97</v>
      </c>
      <c r="I21" s="191">
        <v>50.07</v>
      </c>
      <c r="J21" s="191">
        <v>1719.04</v>
      </c>
      <c r="K21" s="192">
        <v>0.09</v>
      </c>
      <c r="L21" s="191">
        <v>1668.97</v>
      </c>
      <c r="M21" s="191">
        <v>52.58</v>
      </c>
      <c r="N21" s="191">
        <v>1721.55</v>
      </c>
      <c r="O21" s="192">
        <v>0.09</v>
      </c>
      <c r="P21" s="191">
        <v>1668.97</v>
      </c>
      <c r="Q21" s="191">
        <v>55.08</v>
      </c>
      <c r="R21" s="191">
        <v>1724.05</v>
      </c>
      <c r="S21" s="192">
        <v>0.09</v>
      </c>
      <c r="T21" s="191">
        <v>1668.97</v>
      </c>
      <c r="U21" s="191">
        <v>57.59</v>
      </c>
      <c r="V21" s="191">
        <v>1726.56</v>
      </c>
      <c r="W21" s="192">
        <v>0.09</v>
      </c>
      <c r="X21" s="193">
        <v>1668.97</v>
      </c>
      <c r="Y21" s="193">
        <v>60.09</v>
      </c>
      <c r="Z21" s="193">
        <v>1729.06</v>
      </c>
      <c r="AA21" s="192">
        <v>0.09</v>
      </c>
      <c r="AB21" s="191">
        <v>1668.97</v>
      </c>
      <c r="AC21" s="191">
        <v>65.1</v>
      </c>
      <c r="AD21" s="191">
        <v>1734.07</v>
      </c>
      <c r="AE21" s="192">
        <v>0.09</v>
      </c>
      <c r="AF21" s="194">
        <v>1892.61906</v>
      </c>
      <c r="AG21" s="195">
        <f t="shared" si="0"/>
        <v>1734.898305</v>
      </c>
      <c r="AH21" s="194">
        <f t="shared" si="1"/>
        <v>1892.61906</v>
      </c>
      <c r="AI21" s="196"/>
      <c r="AJ21" s="196"/>
    </row>
    <row r="22" s="166" customFormat="1" ht="24" customHeight="1" spans="1:36">
      <c r="A22" s="186">
        <v>19</v>
      </c>
      <c r="B22" s="187" t="s">
        <v>420</v>
      </c>
      <c r="C22" s="188" t="s">
        <v>421</v>
      </c>
      <c r="D22" s="188"/>
      <c r="E22" s="189" t="s">
        <v>357</v>
      </c>
      <c r="F22" s="190" t="s">
        <v>422</v>
      </c>
      <c r="G22" s="190"/>
      <c r="H22" s="191">
        <v>1354.72</v>
      </c>
      <c r="I22" s="191">
        <v>40.65</v>
      </c>
      <c r="J22" s="191">
        <v>1395.37</v>
      </c>
      <c r="K22" s="192">
        <v>0.09</v>
      </c>
      <c r="L22" s="191">
        <v>1354.72</v>
      </c>
      <c r="M22" s="191">
        <v>42.69</v>
      </c>
      <c r="N22" s="191">
        <v>1397.41</v>
      </c>
      <c r="O22" s="192">
        <v>0.09</v>
      </c>
      <c r="P22" s="191">
        <v>1354.72</v>
      </c>
      <c r="Q22" s="191">
        <v>44.72</v>
      </c>
      <c r="R22" s="191">
        <v>1399.44</v>
      </c>
      <c r="S22" s="192">
        <v>0.09</v>
      </c>
      <c r="T22" s="191">
        <v>1354.72</v>
      </c>
      <c r="U22" s="191">
        <v>46.75</v>
      </c>
      <c r="V22" s="191">
        <v>1401.47</v>
      </c>
      <c r="W22" s="192">
        <v>0.09</v>
      </c>
      <c r="X22" s="193">
        <v>1354.72</v>
      </c>
      <c r="Y22" s="193">
        <v>48.78</v>
      </c>
      <c r="Z22" s="193">
        <v>1403.5</v>
      </c>
      <c r="AA22" s="192">
        <v>0.09</v>
      </c>
      <c r="AB22" s="191">
        <v>1354.72</v>
      </c>
      <c r="AC22" s="191">
        <v>52.85</v>
      </c>
      <c r="AD22" s="191">
        <v>1407.57</v>
      </c>
      <c r="AE22" s="192">
        <v>0.09</v>
      </c>
      <c r="AF22" s="194">
        <v>1536.26256</v>
      </c>
      <c r="AG22" s="195">
        <f t="shared" si="0"/>
        <v>1408.24568</v>
      </c>
      <c r="AH22" s="194">
        <f t="shared" si="1"/>
        <v>1536.26256</v>
      </c>
      <c r="AI22" s="196"/>
      <c r="AJ22" s="196"/>
    </row>
    <row r="23" s="166" customFormat="1" ht="24" customHeight="1" spans="1:36">
      <c r="A23" s="186">
        <v>20</v>
      </c>
      <c r="B23" s="187" t="s">
        <v>423</v>
      </c>
      <c r="C23" s="188" t="s">
        <v>424</v>
      </c>
      <c r="D23" s="188"/>
      <c r="E23" s="189" t="s">
        <v>390</v>
      </c>
      <c r="F23" s="190" t="s">
        <v>425</v>
      </c>
      <c r="G23" s="190"/>
      <c r="H23" s="191">
        <v>56.45</v>
      </c>
      <c r="I23" s="191">
        <v>1.7</v>
      </c>
      <c r="J23" s="191">
        <v>58.15</v>
      </c>
      <c r="K23" s="192">
        <v>0.09</v>
      </c>
      <c r="L23" s="191">
        <v>56.45</v>
      </c>
      <c r="M23" s="191">
        <v>1.79</v>
      </c>
      <c r="N23" s="191">
        <v>58.24</v>
      </c>
      <c r="O23" s="192">
        <v>0.09</v>
      </c>
      <c r="P23" s="191">
        <v>56.45</v>
      </c>
      <c r="Q23" s="191">
        <v>1.87</v>
      </c>
      <c r="R23" s="191">
        <v>58.32</v>
      </c>
      <c r="S23" s="192">
        <v>0.09</v>
      </c>
      <c r="T23" s="191">
        <v>56.45</v>
      </c>
      <c r="U23" s="191">
        <v>1.96</v>
      </c>
      <c r="V23" s="191">
        <v>58.41</v>
      </c>
      <c r="W23" s="192">
        <v>0.09</v>
      </c>
      <c r="X23" s="193">
        <v>56.45</v>
      </c>
      <c r="Y23" s="193">
        <v>2.04</v>
      </c>
      <c r="Z23" s="193">
        <v>58.49</v>
      </c>
      <c r="AA23" s="192">
        <v>0.09</v>
      </c>
      <c r="AB23" s="191">
        <v>56.45</v>
      </c>
      <c r="AC23" s="191">
        <v>2.21</v>
      </c>
      <c r="AD23" s="191">
        <v>58.66</v>
      </c>
      <c r="AE23" s="192">
        <v>0.09</v>
      </c>
      <c r="AF23" s="194">
        <v>64.0221</v>
      </c>
      <c r="AG23" s="195">
        <f t="shared" si="0"/>
        <v>58.686925</v>
      </c>
      <c r="AH23" s="194">
        <f t="shared" si="1"/>
        <v>64.0221</v>
      </c>
      <c r="AI23" s="196"/>
      <c r="AJ23" s="196"/>
    </row>
    <row r="24" s="166" customFormat="1" ht="24" customHeight="1" spans="1:36">
      <c r="A24" s="186">
        <v>21</v>
      </c>
      <c r="B24" s="187" t="s">
        <v>426</v>
      </c>
      <c r="C24" s="188" t="s">
        <v>427</v>
      </c>
      <c r="D24" s="188"/>
      <c r="E24" s="189" t="s">
        <v>390</v>
      </c>
      <c r="F24" s="190" t="s">
        <v>428</v>
      </c>
      <c r="G24" s="190"/>
      <c r="H24" s="191">
        <v>306.99</v>
      </c>
      <c r="I24" s="191">
        <v>9.21</v>
      </c>
      <c r="J24" s="191">
        <v>316.2</v>
      </c>
      <c r="K24" s="192">
        <v>0.09</v>
      </c>
      <c r="L24" s="191">
        <v>306.99</v>
      </c>
      <c r="M24" s="191">
        <v>9.68</v>
      </c>
      <c r="N24" s="191">
        <v>316.67</v>
      </c>
      <c r="O24" s="192">
        <v>0.09</v>
      </c>
      <c r="P24" s="191">
        <v>306.99</v>
      </c>
      <c r="Q24" s="191">
        <v>10.14</v>
      </c>
      <c r="R24" s="191">
        <v>317.13</v>
      </c>
      <c r="S24" s="192">
        <v>0.09</v>
      </c>
      <c r="T24" s="191">
        <v>306.99</v>
      </c>
      <c r="U24" s="191">
        <v>10.6</v>
      </c>
      <c r="V24" s="191">
        <v>317.59</v>
      </c>
      <c r="W24" s="192">
        <v>0.09</v>
      </c>
      <c r="X24" s="193">
        <v>306.99</v>
      </c>
      <c r="Y24" s="193">
        <v>11.06</v>
      </c>
      <c r="Z24" s="193">
        <v>318.05</v>
      </c>
      <c r="AA24" s="192">
        <v>0.09</v>
      </c>
      <c r="AB24" s="191">
        <v>306.99</v>
      </c>
      <c r="AC24" s="191">
        <v>11.98</v>
      </c>
      <c r="AD24" s="191">
        <v>318.97</v>
      </c>
      <c r="AE24" s="192">
        <v>0.09</v>
      </c>
      <c r="AF24" s="194">
        <v>348.13502</v>
      </c>
      <c r="AG24" s="195">
        <f t="shared" si="0"/>
        <v>319.125435</v>
      </c>
      <c r="AH24" s="194">
        <f t="shared" si="1"/>
        <v>348.13502</v>
      </c>
      <c r="AI24" s="196"/>
      <c r="AJ24" s="196"/>
    </row>
    <row r="25" s="166" customFormat="1" ht="24" customHeight="1" spans="1:36">
      <c r="A25" s="186">
        <v>22</v>
      </c>
      <c r="B25" s="187" t="s">
        <v>429</v>
      </c>
      <c r="C25" s="188" t="s">
        <v>430</v>
      </c>
      <c r="D25" s="188"/>
      <c r="E25" s="189" t="s">
        <v>76</v>
      </c>
      <c r="F25" s="190" t="s">
        <v>431</v>
      </c>
      <c r="G25" s="190"/>
      <c r="H25" s="191">
        <v>93.09</v>
      </c>
      <c r="I25" s="191">
        <v>2.8</v>
      </c>
      <c r="J25" s="191">
        <v>95.89</v>
      </c>
      <c r="K25" s="192">
        <v>0.09</v>
      </c>
      <c r="L25" s="191">
        <v>93.09</v>
      </c>
      <c r="M25" s="191">
        <v>2.94</v>
      </c>
      <c r="N25" s="191">
        <v>96.03</v>
      </c>
      <c r="O25" s="192">
        <v>0.09</v>
      </c>
      <c r="P25" s="191">
        <v>93.09</v>
      </c>
      <c r="Q25" s="191">
        <v>3.08</v>
      </c>
      <c r="R25" s="191">
        <v>96.17</v>
      </c>
      <c r="S25" s="192">
        <v>0.09</v>
      </c>
      <c r="T25" s="191">
        <v>93.09</v>
      </c>
      <c r="U25" s="191">
        <v>3.22</v>
      </c>
      <c r="V25" s="191">
        <v>96.31</v>
      </c>
      <c r="W25" s="192">
        <v>0.09</v>
      </c>
      <c r="X25" s="193">
        <v>93.09</v>
      </c>
      <c r="Y25" s="193">
        <v>3.36</v>
      </c>
      <c r="Z25" s="193">
        <v>96.45</v>
      </c>
      <c r="AA25" s="192">
        <v>0.09</v>
      </c>
      <c r="AB25" s="191">
        <v>93.09</v>
      </c>
      <c r="AC25" s="191">
        <v>3.64</v>
      </c>
      <c r="AD25" s="191">
        <v>96.73</v>
      </c>
      <c r="AE25" s="192">
        <v>0.09</v>
      </c>
      <c r="AF25" s="194">
        <v>105.57282</v>
      </c>
      <c r="AG25" s="195">
        <f t="shared" si="0"/>
        <v>96.775085</v>
      </c>
      <c r="AH25" s="194">
        <f t="shared" si="1"/>
        <v>105.57282</v>
      </c>
      <c r="AI25" s="196"/>
      <c r="AJ25" s="196"/>
    </row>
    <row r="26" s="166" customFormat="1" ht="24" customHeight="1" spans="1:36">
      <c r="A26" s="186">
        <v>23</v>
      </c>
      <c r="B26" s="187" t="s">
        <v>432</v>
      </c>
      <c r="C26" s="188" t="s">
        <v>433</v>
      </c>
      <c r="D26" s="188"/>
      <c r="E26" s="189" t="s">
        <v>76</v>
      </c>
      <c r="F26" s="190" t="s">
        <v>434</v>
      </c>
      <c r="G26" s="190"/>
      <c r="H26" s="191">
        <v>503.07</v>
      </c>
      <c r="I26" s="191">
        <v>15.1</v>
      </c>
      <c r="J26" s="191">
        <v>518.17</v>
      </c>
      <c r="K26" s="192">
        <v>0.09</v>
      </c>
      <c r="L26" s="191">
        <v>503.07</v>
      </c>
      <c r="M26" s="191">
        <v>15.86</v>
      </c>
      <c r="N26" s="191">
        <v>518.93</v>
      </c>
      <c r="O26" s="192">
        <v>0.09</v>
      </c>
      <c r="P26" s="191">
        <v>503.07</v>
      </c>
      <c r="Q26" s="191">
        <v>16.61</v>
      </c>
      <c r="R26" s="191">
        <v>519.68</v>
      </c>
      <c r="S26" s="192">
        <v>0.09</v>
      </c>
      <c r="T26" s="191">
        <v>503.07</v>
      </c>
      <c r="U26" s="191">
        <v>17.37</v>
      </c>
      <c r="V26" s="191">
        <v>520.44</v>
      </c>
      <c r="W26" s="192">
        <v>0.09</v>
      </c>
      <c r="X26" s="193">
        <v>503.07</v>
      </c>
      <c r="Y26" s="193">
        <v>18.12</v>
      </c>
      <c r="Z26" s="193">
        <v>521.19</v>
      </c>
      <c r="AA26" s="192">
        <v>0.09</v>
      </c>
      <c r="AB26" s="191">
        <v>503.07</v>
      </c>
      <c r="AC26" s="191">
        <v>19.63</v>
      </c>
      <c r="AD26" s="191">
        <v>522.7</v>
      </c>
      <c r="AE26" s="192">
        <v>0.09</v>
      </c>
      <c r="AF26" s="194">
        <v>570.49086</v>
      </c>
      <c r="AG26" s="195">
        <f t="shared" si="0"/>
        <v>522.949955</v>
      </c>
      <c r="AH26" s="194">
        <f t="shared" si="1"/>
        <v>570.49086</v>
      </c>
      <c r="AI26" s="196"/>
      <c r="AJ26" s="196"/>
    </row>
    <row r="27" s="167" customFormat="1" ht="24" customHeight="1" spans="1:36">
      <c r="A27" s="201">
        <v>24</v>
      </c>
      <c r="B27" s="202" t="s">
        <v>435</v>
      </c>
      <c r="C27" s="203" t="s">
        <v>436</v>
      </c>
      <c r="D27" s="203"/>
      <c r="E27" s="204" t="s">
        <v>76</v>
      </c>
      <c r="F27" s="205" t="s">
        <v>437</v>
      </c>
      <c r="G27" s="190"/>
      <c r="H27" s="191">
        <v>32</v>
      </c>
      <c r="I27" s="191">
        <v>0.96</v>
      </c>
      <c r="J27" s="191">
        <f>H27+I27</f>
        <v>32.96</v>
      </c>
      <c r="K27" s="192">
        <v>0.09</v>
      </c>
      <c r="L27" s="191">
        <v>32</v>
      </c>
      <c r="M27" s="191">
        <v>1.01</v>
      </c>
      <c r="N27" s="191">
        <f>L27+M27</f>
        <v>33.01</v>
      </c>
      <c r="O27" s="192">
        <v>0.09</v>
      </c>
      <c r="P27" s="191">
        <v>32</v>
      </c>
      <c r="Q27" s="191">
        <v>1.06</v>
      </c>
      <c r="R27" s="191">
        <f>P27+Q27</f>
        <v>33.06</v>
      </c>
      <c r="S27" s="192">
        <v>0.09</v>
      </c>
      <c r="T27" s="191">
        <v>32</v>
      </c>
      <c r="U27" s="191">
        <v>1.11</v>
      </c>
      <c r="V27" s="191">
        <f>T27+U27</f>
        <v>33.11</v>
      </c>
      <c r="W27" s="192">
        <v>0.09</v>
      </c>
      <c r="X27" s="206">
        <v>32</v>
      </c>
      <c r="Y27" s="206">
        <v>1.16</v>
      </c>
      <c r="Z27" s="206">
        <f>X27+Y27</f>
        <v>33.16</v>
      </c>
      <c r="AA27" s="207">
        <v>0.09</v>
      </c>
      <c r="AB27" s="191">
        <v>32</v>
      </c>
      <c r="AC27" s="191">
        <v>1.25</v>
      </c>
      <c r="AD27" s="191">
        <f>AB27+AC27</f>
        <v>33.25</v>
      </c>
      <c r="AE27" s="192">
        <v>0.09</v>
      </c>
      <c r="AF27" s="208">
        <v>36.296</v>
      </c>
      <c r="AG27" s="195">
        <f t="shared" si="0"/>
        <v>33.268</v>
      </c>
      <c r="AH27" s="194">
        <f t="shared" si="1"/>
        <v>36.296</v>
      </c>
      <c r="AI27" s="209"/>
      <c r="AJ27" s="209"/>
    </row>
    <row r="28" s="167" customFormat="1" ht="24" customHeight="1" spans="1:36">
      <c r="A28" s="201">
        <v>25</v>
      </c>
      <c r="B28" s="202" t="s">
        <v>438</v>
      </c>
      <c r="C28" s="203" t="s">
        <v>439</v>
      </c>
      <c r="D28" s="203"/>
      <c r="E28" s="204" t="s">
        <v>73</v>
      </c>
      <c r="F28" s="205" t="s">
        <v>440</v>
      </c>
      <c r="G28" s="205"/>
      <c r="H28" s="210">
        <v>174</v>
      </c>
      <c r="I28" s="210">
        <v>5.22</v>
      </c>
      <c r="J28" s="210">
        <f>H28+I28</f>
        <v>179.22</v>
      </c>
      <c r="K28" s="207">
        <v>0.09</v>
      </c>
      <c r="L28" s="210">
        <v>174</v>
      </c>
      <c r="M28" s="210">
        <v>5.49</v>
      </c>
      <c r="N28" s="210">
        <f>L28+M28</f>
        <v>179.49</v>
      </c>
      <c r="O28" s="207">
        <v>0.09</v>
      </c>
      <c r="P28" s="210">
        <v>174</v>
      </c>
      <c r="Q28" s="210">
        <v>5.75</v>
      </c>
      <c r="R28" s="210">
        <f>P28+Q28</f>
        <v>179.75</v>
      </c>
      <c r="S28" s="207">
        <v>0.09</v>
      </c>
      <c r="T28" s="210">
        <v>174</v>
      </c>
      <c r="U28" s="210">
        <v>6.01</v>
      </c>
      <c r="V28" s="210">
        <f>T28+U28</f>
        <v>180.01</v>
      </c>
      <c r="W28" s="207">
        <v>0.09</v>
      </c>
      <c r="X28" s="206">
        <v>174</v>
      </c>
      <c r="Y28" s="206">
        <v>6.27</v>
      </c>
      <c r="Z28" s="206">
        <f>X28+Y28</f>
        <v>180.27</v>
      </c>
      <c r="AA28" s="207">
        <v>0.09</v>
      </c>
      <c r="AB28" s="210">
        <v>174</v>
      </c>
      <c r="AC28" s="210">
        <v>6.79</v>
      </c>
      <c r="AD28" s="210">
        <f>AB28+AC28</f>
        <v>180.79</v>
      </c>
      <c r="AE28" s="207">
        <v>0.09</v>
      </c>
      <c r="AF28" s="208">
        <v>197.322</v>
      </c>
      <c r="AG28" s="195">
        <f t="shared" si="0"/>
        <v>180.881</v>
      </c>
      <c r="AH28" s="194">
        <f t="shared" si="1"/>
        <v>197.322</v>
      </c>
      <c r="AI28" s="209"/>
      <c r="AJ28" s="209"/>
    </row>
    <row r="29" s="166" customFormat="1" ht="24" customHeight="1" spans="1:36">
      <c r="A29" s="186">
        <v>26</v>
      </c>
      <c r="B29" s="187" t="s">
        <v>441</v>
      </c>
      <c r="C29" s="188" t="s">
        <v>442</v>
      </c>
      <c r="D29" s="188"/>
      <c r="E29" s="189" t="s">
        <v>378</v>
      </c>
      <c r="F29" s="190" t="s">
        <v>443</v>
      </c>
      <c r="G29" s="190"/>
      <c r="H29" s="191">
        <v>10576.31</v>
      </c>
      <c r="I29" s="191">
        <v>317.29</v>
      </c>
      <c r="J29" s="191">
        <v>10893.6</v>
      </c>
      <c r="K29" s="192">
        <v>0.09</v>
      </c>
      <c r="L29" s="191">
        <v>10576.31</v>
      </c>
      <c r="M29" s="191">
        <v>333.16</v>
      </c>
      <c r="N29" s="191">
        <v>10909.47</v>
      </c>
      <c r="O29" s="192">
        <v>0.09</v>
      </c>
      <c r="P29" s="191">
        <v>10576.31</v>
      </c>
      <c r="Q29" s="191">
        <v>349.02</v>
      </c>
      <c r="R29" s="191">
        <v>10925.33</v>
      </c>
      <c r="S29" s="192">
        <v>0.09</v>
      </c>
      <c r="T29" s="191">
        <v>10576.31</v>
      </c>
      <c r="U29" s="191">
        <v>364.89</v>
      </c>
      <c r="V29" s="191">
        <v>10941.2</v>
      </c>
      <c r="W29" s="192">
        <v>0.09</v>
      </c>
      <c r="X29" s="193">
        <v>10576.31</v>
      </c>
      <c r="Y29" s="193">
        <v>380.75</v>
      </c>
      <c r="Z29" s="193">
        <v>10957.06</v>
      </c>
      <c r="AA29" s="192">
        <v>0.09</v>
      </c>
      <c r="AB29" s="191">
        <v>10576.31</v>
      </c>
      <c r="AC29" s="191">
        <v>412.48</v>
      </c>
      <c r="AD29" s="191">
        <v>10988.79</v>
      </c>
      <c r="AE29" s="192">
        <v>0.09</v>
      </c>
      <c r="AF29" s="194">
        <v>11993.53838</v>
      </c>
      <c r="AG29" s="195">
        <f t="shared" si="0"/>
        <v>10994.076015</v>
      </c>
      <c r="AH29" s="194">
        <f t="shared" si="1"/>
        <v>11993.53838</v>
      </c>
      <c r="AI29" s="196"/>
      <c r="AJ29" s="196"/>
    </row>
    <row r="30" s="166" customFormat="1" ht="24" customHeight="1" spans="1:36">
      <c r="A30" s="186">
        <v>27</v>
      </c>
      <c r="B30" s="211" t="s">
        <v>444</v>
      </c>
      <c r="C30" s="212" t="s">
        <v>445</v>
      </c>
      <c r="D30" s="213"/>
      <c r="E30" s="212" t="s">
        <v>73</v>
      </c>
      <c r="F30" s="190" t="s">
        <v>446</v>
      </c>
      <c r="G30" s="190"/>
      <c r="H30" s="191">
        <v>348.96</v>
      </c>
      <c r="I30" s="191">
        <v>10.47</v>
      </c>
      <c r="J30" s="191">
        <v>359.43</v>
      </c>
      <c r="K30" s="192">
        <v>0.09</v>
      </c>
      <c r="L30" s="191">
        <v>348.96</v>
      </c>
      <c r="M30" s="191">
        <v>11</v>
      </c>
      <c r="N30" s="191">
        <v>359.96</v>
      </c>
      <c r="O30" s="192">
        <v>0.09</v>
      </c>
      <c r="P30" s="191">
        <v>348.96</v>
      </c>
      <c r="Q30" s="191">
        <v>11.52</v>
      </c>
      <c r="R30" s="191">
        <v>360.48</v>
      </c>
      <c r="S30" s="192">
        <v>0.09</v>
      </c>
      <c r="T30" s="191">
        <v>348.96</v>
      </c>
      <c r="U30" s="191">
        <v>12.05</v>
      </c>
      <c r="V30" s="191">
        <v>361.01</v>
      </c>
      <c r="W30" s="192">
        <v>0.09</v>
      </c>
      <c r="X30" s="193">
        <v>348.96</v>
      </c>
      <c r="Y30" s="193">
        <v>12.57</v>
      </c>
      <c r="Z30" s="193">
        <v>361.53</v>
      </c>
      <c r="AA30" s="192">
        <v>0.09</v>
      </c>
      <c r="AB30" s="191">
        <v>348.96</v>
      </c>
      <c r="AC30" s="191">
        <v>13.62</v>
      </c>
      <c r="AD30" s="191">
        <v>362.58</v>
      </c>
      <c r="AE30" s="192">
        <v>0.09</v>
      </c>
      <c r="AF30" s="194">
        <v>395.72808</v>
      </c>
      <c r="AG30" s="195">
        <f t="shared" si="0"/>
        <v>362.74824</v>
      </c>
      <c r="AH30" s="194">
        <f t="shared" si="1"/>
        <v>395.72808</v>
      </c>
      <c r="AI30" s="196"/>
      <c r="AJ30" s="196"/>
    </row>
    <row r="31" s="166" customFormat="1" ht="24" customHeight="1" spans="1:36">
      <c r="A31" s="186">
        <v>28</v>
      </c>
      <c r="B31" s="211" t="s">
        <v>447</v>
      </c>
      <c r="C31" s="212" t="s">
        <v>448</v>
      </c>
      <c r="D31" s="213"/>
      <c r="E31" s="212" t="s">
        <v>73</v>
      </c>
      <c r="F31" s="190" t="s">
        <v>449</v>
      </c>
      <c r="G31" s="190"/>
      <c r="H31" s="191">
        <v>912.35</v>
      </c>
      <c r="I31" s="191">
        <v>27.38</v>
      </c>
      <c r="J31" s="191">
        <v>939.73</v>
      </c>
      <c r="K31" s="192">
        <v>0.09</v>
      </c>
      <c r="L31" s="191">
        <v>912.35</v>
      </c>
      <c r="M31" s="191">
        <v>28.75</v>
      </c>
      <c r="N31" s="191">
        <v>941.1</v>
      </c>
      <c r="O31" s="192">
        <v>0.09</v>
      </c>
      <c r="P31" s="191">
        <v>912.35</v>
      </c>
      <c r="Q31" s="191">
        <v>30.12</v>
      </c>
      <c r="R31" s="191">
        <v>942.47</v>
      </c>
      <c r="S31" s="192">
        <v>0.09</v>
      </c>
      <c r="T31" s="191">
        <v>912.35</v>
      </c>
      <c r="U31" s="191">
        <v>31.49</v>
      </c>
      <c r="V31" s="191">
        <v>943.84</v>
      </c>
      <c r="W31" s="192">
        <v>0.09</v>
      </c>
      <c r="X31" s="193">
        <v>912.35</v>
      </c>
      <c r="Y31" s="193">
        <v>32.86</v>
      </c>
      <c r="Z31" s="193">
        <v>945.21</v>
      </c>
      <c r="AA31" s="192">
        <v>0.09</v>
      </c>
      <c r="AB31" s="191">
        <v>912.35</v>
      </c>
      <c r="AC31" s="191">
        <v>35.6</v>
      </c>
      <c r="AD31" s="191">
        <v>947.95</v>
      </c>
      <c r="AE31" s="192">
        <v>0.09</v>
      </c>
      <c r="AF31" s="194">
        <v>1034.6203</v>
      </c>
      <c r="AG31" s="195">
        <f t="shared" si="0"/>
        <v>948.400275</v>
      </c>
      <c r="AH31" s="194">
        <f t="shared" si="1"/>
        <v>1034.6203</v>
      </c>
      <c r="AI31" s="196"/>
      <c r="AJ31" s="196"/>
    </row>
    <row r="32" s="166" customFormat="1" ht="24" customHeight="1" spans="1:36">
      <c r="A32" s="186">
        <v>29</v>
      </c>
      <c r="B32" s="211" t="s">
        <v>450</v>
      </c>
      <c r="C32" s="212" t="s">
        <v>451</v>
      </c>
      <c r="D32" s="213"/>
      <c r="E32" s="212" t="s">
        <v>73</v>
      </c>
      <c r="F32" s="190" t="s">
        <v>452</v>
      </c>
      <c r="G32" s="190"/>
      <c r="H32" s="191">
        <v>1177.18</v>
      </c>
      <c r="I32" s="191">
        <v>35.32</v>
      </c>
      <c r="J32" s="191">
        <v>1212.5</v>
      </c>
      <c r="K32" s="192">
        <v>0.09</v>
      </c>
      <c r="L32" s="191">
        <v>1177.18</v>
      </c>
      <c r="M32" s="191">
        <v>37.09</v>
      </c>
      <c r="N32" s="191">
        <v>1214.27</v>
      </c>
      <c r="O32" s="192">
        <v>0.09</v>
      </c>
      <c r="P32" s="191">
        <v>1177.18</v>
      </c>
      <c r="Q32" s="191">
        <v>38.86</v>
      </c>
      <c r="R32" s="191">
        <v>1216.04</v>
      </c>
      <c r="S32" s="192">
        <v>0.09</v>
      </c>
      <c r="T32" s="191">
        <v>1177.18</v>
      </c>
      <c r="U32" s="191">
        <v>40.62</v>
      </c>
      <c r="V32" s="191">
        <v>1217.8</v>
      </c>
      <c r="W32" s="192">
        <v>0.09</v>
      </c>
      <c r="X32" s="193">
        <v>1177.18</v>
      </c>
      <c r="Y32" s="193">
        <v>42.39</v>
      </c>
      <c r="Z32" s="193">
        <v>1219.57</v>
      </c>
      <c r="AA32" s="192">
        <v>0.09</v>
      </c>
      <c r="AB32" s="191">
        <v>1177.18</v>
      </c>
      <c r="AC32" s="191">
        <v>45.92</v>
      </c>
      <c r="AD32" s="191">
        <v>1223.1</v>
      </c>
      <c r="AE32" s="192">
        <v>0.09</v>
      </c>
      <c r="AF32" s="194">
        <v>1334.93364</v>
      </c>
      <c r="AG32" s="195">
        <f t="shared" si="0"/>
        <v>1223.69167</v>
      </c>
      <c r="AH32" s="194">
        <f t="shared" si="1"/>
        <v>1334.93364</v>
      </c>
      <c r="AI32" s="196"/>
      <c r="AJ32" s="196"/>
    </row>
    <row r="33" s="166" customFormat="1" ht="24" customHeight="1" spans="1:36">
      <c r="A33" s="186">
        <v>30</v>
      </c>
      <c r="B33" s="211" t="s">
        <v>453</v>
      </c>
      <c r="C33" s="212" t="s">
        <v>454</v>
      </c>
      <c r="D33" s="213"/>
      <c r="E33" s="212" t="s">
        <v>73</v>
      </c>
      <c r="F33" s="190" t="s">
        <v>455</v>
      </c>
      <c r="G33" s="190"/>
      <c r="H33" s="191">
        <v>941.75</v>
      </c>
      <c r="I33" s="191">
        <v>28.26</v>
      </c>
      <c r="J33" s="191">
        <v>970.01</v>
      </c>
      <c r="K33" s="192">
        <v>0.09</v>
      </c>
      <c r="L33" s="191">
        <v>941.75</v>
      </c>
      <c r="M33" s="191">
        <v>29.68</v>
      </c>
      <c r="N33" s="191">
        <v>971.43</v>
      </c>
      <c r="O33" s="192">
        <v>0.09</v>
      </c>
      <c r="P33" s="191">
        <v>941.75</v>
      </c>
      <c r="Q33" s="191">
        <v>31.09</v>
      </c>
      <c r="R33" s="191">
        <v>972.84</v>
      </c>
      <c r="S33" s="192">
        <v>0.09</v>
      </c>
      <c r="T33" s="191">
        <v>941.75</v>
      </c>
      <c r="U33" s="191">
        <v>32.5</v>
      </c>
      <c r="V33" s="191">
        <v>974.25</v>
      </c>
      <c r="W33" s="192">
        <v>0.09</v>
      </c>
      <c r="X33" s="193">
        <v>941.75</v>
      </c>
      <c r="Y33" s="193">
        <v>33.92</v>
      </c>
      <c r="Z33" s="193">
        <v>975.67</v>
      </c>
      <c r="AA33" s="192">
        <v>0.09</v>
      </c>
      <c r="AB33" s="191">
        <v>941.75</v>
      </c>
      <c r="AC33" s="191">
        <v>36.74</v>
      </c>
      <c r="AD33" s="191">
        <v>978.49</v>
      </c>
      <c r="AE33" s="192">
        <v>0.09</v>
      </c>
      <c r="AF33" s="194">
        <v>1067.9615</v>
      </c>
      <c r="AG33" s="195">
        <f t="shared" si="0"/>
        <v>978.961375</v>
      </c>
      <c r="AH33" s="194">
        <f t="shared" si="1"/>
        <v>1067.9615</v>
      </c>
      <c r="AI33" s="196"/>
      <c r="AJ33" s="196"/>
    </row>
    <row r="34" s="166" customFormat="1" ht="24" customHeight="1" spans="1:36">
      <c r="A34" s="186">
        <v>31</v>
      </c>
      <c r="B34" s="211" t="s">
        <v>456</v>
      </c>
      <c r="C34" s="212" t="s">
        <v>457</v>
      </c>
      <c r="D34" s="213"/>
      <c r="E34" s="212" t="s">
        <v>18</v>
      </c>
      <c r="F34" s="190" t="s">
        <v>458</v>
      </c>
      <c r="G34" s="190"/>
      <c r="H34" s="191">
        <v>2615.64</v>
      </c>
      <c r="I34" s="191">
        <v>78.47</v>
      </c>
      <c r="J34" s="191">
        <v>2694.11</v>
      </c>
      <c r="K34" s="192">
        <v>0.09</v>
      </c>
      <c r="L34" s="191">
        <v>2615.64</v>
      </c>
      <c r="M34" s="191">
        <v>82.4</v>
      </c>
      <c r="N34" s="191">
        <v>2698.04</v>
      </c>
      <c r="O34" s="192">
        <v>0.09</v>
      </c>
      <c r="P34" s="191">
        <v>2615.64</v>
      </c>
      <c r="Q34" s="191">
        <v>86.32</v>
      </c>
      <c r="R34" s="191">
        <v>2701.96</v>
      </c>
      <c r="S34" s="192">
        <v>0.09</v>
      </c>
      <c r="T34" s="191">
        <v>2615.64</v>
      </c>
      <c r="U34" s="191">
        <v>90.25</v>
      </c>
      <c r="V34" s="191">
        <v>2705.89</v>
      </c>
      <c r="W34" s="192">
        <v>0.09</v>
      </c>
      <c r="X34" s="193">
        <v>2615.64</v>
      </c>
      <c r="Y34" s="193">
        <v>94.17</v>
      </c>
      <c r="Z34" s="193">
        <v>2709.81</v>
      </c>
      <c r="AA34" s="192">
        <v>0.09</v>
      </c>
      <c r="AB34" s="191">
        <v>2615.64</v>
      </c>
      <c r="AC34" s="191">
        <v>102.02</v>
      </c>
      <c r="AD34" s="191">
        <v>2717.66</v>
      </c>
      <c r="AE34" s="192">
        <v>0.09</v>
      </c>
      <c r="AF34" s="194">
        <v>2966.14272</v>
      </c>
      <c r="AG34" s="195">
        <f t="shared" si="0"/>
        <v>2718.96166</v>
      </c>
      <c r="AH34" s="194">
        <f t="shared" si="1"/>
        <v>2966.14272</v>
      </c>
      <c r="AI34" s="196"/>
      <c r="AJ34" s="196"/>
    </row>
    <row r="35" s="166" customFormat="1" ht="24" customHeight="1" spans="1:36">
      <c r="A35" s="186">
        <v>32</v>
      </c>
      <c r="B35" s="211" t="s">
        <v>459</v>
      </c>
      <c r="C35" s="212" t="s">
        <v>460</v>
      </c>
      <c r="D35" s="213"/>
      <c r="E35" s="212" t="s">
        <v>378</v>
      </c>
      <c r="F35" s="190" t="s">
        <v>461</v>
      </c>
      <c r="G35" s="190"/>
      <c r="H35" s="191">
        <v>13048.08</v>
      </c>
      <c r="I35" s="191">
        <v>391.45</v>
      </c>
      <c r="J35" s="191">
        <v>13439.53</v>
      </c>
      <c r="K35" s="192">
        <v>0.09</v>
      </c>
      <c r="L35" s="191">
        <v>13048.08</v>
      </c>
      <c r="M35" s="191">
        <v>411.03</v>
      </c>
      <c r="N35" s="191">
        <v>13459.11</v>
      </c>
      <c r="O35" s="192">
        <v>0.09</v>
      </c>
      <c r="P35" s="191">
        <v>13048.08</v>
      </c>
      <c r="Q35" s="191">
        <v>430.6</v>
      </c>
      <c r="R35" s="191">
        <v>13478.68</v>
      </c>
      <c r="S35" s="192">
        <v>0.09</v>
      </c>
      <c r="T35" s="191">
        <v>13048.08</v>
      </c>
      <c r="U35" s="191">
        <v>450.17</v>
      </c>
      <c r="V35" s="191">
        <v>13498.25</v>
      </c>
      <c r="W35" s="192">
        <v>0.09</v>
      </c>
      <c r="X35" s="193">
        <v>13048.08</v>
      </c>
      <c r="Y35" s="193">
        <v>469.74</v>
      </c>
      <c r="Z35" s="193">
        <v>13517.82</v>
      </c>
      <c r="AA35" s="192">
        <v>0.09</v>
      </c>
      <c r="AB35" s="191">
        <v>13048.08</v>
      </c>
      <c r="AC35" s="191">
        <v>508.89</v>
      </c>
      <c r="AD35" s="191">
        <v>13556.97</v>
      </c>
      <c r="AE35" s="192">
        <v>0.09</v>
      </c>
      <c r="AF35" s="194">
        <v>14796.53184</v>
      </c>
      <c r="AG35" s="195">
        <f t="shared" si="0"/>
        <v>13563.49252</v>
      </c>
      <c r="AH35" s="194">
        <f t="shared" si="1"/>
        <v>14796.53184</v>
      </c>
      <c r="AI35" s="196"/>
      <c r="AJ35" s="196"/>
    </row>
    <row r="36" s="166" customFormat="1" ht="24" customHeight="1" spans="1:36">
      <c r="A36" s="186">
        <v>33</v>
      </c>
      <c r="B36" s="211" t="s">
        <v>462</v>
      </c>
      <c r="C36" s="212" t="s">
        <v>463</v>
      </c>
      <c r="D36" s="213"/>
      <c r="E36" s="212" t="s">
        <v>76</v>
      </c>
      <c r="F36" s="190" t="s">
        <v>464</v>
      </c>
      <c r="G36" s="190"/>
      <c r="H36" s="191">
        <v>358.96</v>
      </c>
      <c r="I36" s="191">
        <v>10.77</v>
      </c>
      <c r="J36" s="191">
        <v>369.73</v>
      </c>
      <c r="K36" s="192">
        <v>0.09</v>
      </c>
      <c r="L36" s="191">
        <v>358.96</v>
      </c>
      <c r="M36" s="191">
        <v>11.31</v>
      </c>
      <c r="N36" s="191">
        <v>370.27</v>
      </c>
      <c r="O36" s="192">
        <v>0.09</v>
      </c>
      <c r="P36" s="191">
        <v>358.96</v>
      </c>
      <c r="Q36" s="191">
        <v>11.85</v>
      </c>
      <c r="R36" s="191">
        <v>370.81</v>
      </c>
      <c r="S36" s="192">
        <v>0.09</v>
      </c>
      <c r="T36" s="191">
        <v>358.96</v>
      </c>
      <c r="U36" s="191">
        <v>12.39</v>
      </c>
      <c r="V36" s="191">
        <v>371.35</v>
      </c>
      <c r="W36" s="192">
        <v>0.09</v>
      </c>
      <c r="X36" s="193">
        <v>358.96</v>
      </c>
      <c r="Y36" s="193">
        <v>12.93</v>
      </c>
      <c r="Z36" s="193">
        <v>371.89</v>
      </c>
      <c r="AA36" s="192">
        <v>0.09</v>
      </c>
      <c r="AB36" s="191">
        <v>358.96</v>
      </c>
      <c r="AC36" s="191">
        <v>14.01</v>
      </c>
      <c r="AD36" s="191">
        <v>372.97</v>
      </c>
      <c r="AE36" s="192">
        <v>0.09</v>
      </c>
      <c r="AF36" s="194">
        <v>407.06808</v>
      </c>
      <c r="AG36" s="195">
        <f t="shared" si="0"/>
        <v>373.14324</v>
      </c>
      <c r="AH36" s="194">
        <f t="shared" si="1"/>
        <v>407.06808</v>
      </c>
      <c r="AI36" s="196"/>
      <c r="AJ36" s="196"/>
    </row>
    <row r="37" s="166" customFormat="1" ht="24" customHeight="1" spans="1:36">
      <c r="A37" s="186">
        <v>34</v>
      </c>
      <c r="B37" s="211" t="s">
        <v>465</v>
      </c>
      <c r="C37" s="212" t="s">
        <v>466</v>
      </c>
      <c r="D37" s="213"/>
      <c r="E37" s="212" t="s">
        <v>76</v>
      </c>
      <c r="F37" s="190" t="s">
        <v>467</v>
      </c>
      <c r="G37" s="190"/>
      <c r="H37" s="191">
        <v>731.23</v>
      </c>
      <c r="I37" s="191">
        <v>21.94</v>
      </c>
      <c r="J37" s="191">
        <v>753.17</v>
      </c>
      <c r="K37" s="192">
        <v>0.09</v>
      </c>
      <c r="L37" s="191">
        <v>731.23</v>
      </c>
      <c r="M37" s="191">
        <v>23.04</v>
      </c>
      <c r="N37" s="191">
        <v>754.27</v>
      </c>
      <c r="O37" s="192">
        <v>0.09</v>
      </c>
      <c r="P37" s="191">
        <v>731.23</v>
      </c>
      <c r="Q37" s="191">
        <v>24.14</v>
      </c>
      <c r="R37" s="191">
        <v>755.37</v>
      </c>
      <c r="S37" s="192">
        <v>0.09</v>
      </c>
      <c r="T37" s="191">
        <v>731.23</v>
      </c>
      <c r="U37" s="191">
        <v>25.24</v>
      </c>
      <c r="V37" s="191">
        <v>756.47</v>
      </c>
      <c r="W37" s="192">
        <v>0.09</v>
      </c>
      <c r="X37" s="193">
        <v>731.23</v>
      </c>
      <c r="Y37" s="193">
        <v>26.33</v>
      </c>
      <c r="Z37" s="193">
        <v>757.56</v>
      </c>
      <c r="AA37" s="192">
        <v>0.09</v>
      </c>
      <c r="AB37" s="191">
        <v>731.23</v>
      </c>
      <c r="AC37" s="191">
        <v>28.53</v>
      </c>
      <c r="AD37" s="191">
        <v>759.76</v>
      </c>
      <c r="AE37" s="192">
        <v>0.09</v>
      </c>
      <c r="AF37" s="194">
        <v>829.22054</v>
      </c>
      <c r="AG37" s="195">
        <f t="shared" si="0"/>
        <v>760.122995</v>
      </c>
      <c r="AH37" s="194">
        <f t="shared" si="1"/>
        <v>829.22054</v>
      </c>
      <c r="AI37" s="196"/>
      <c r="AJ37" s="196"/>
    </row>
    <row r="38" s="166" customFormat="1" ht="24" customHeight="1" spans="1:36">
      <c r="A38" s="186">
        <v>35</v>
      </c>
      <c r="B38" s="211" t="s">
        <v>468</v>
      </c>
      <c r="C38" s="212" t="s">
        <v>469</v>
      </c>
      <c r="D38" s="213"/>
      <c r="E38" s="212" t="s">
        <v>76</v>
      </c>
      <c r="F38" s="190" t="s">
        <v>470</v>
      </c>
      <c r="G38" s="190"/>
      <c r="H38" s="191">
        <v>287.17</v>
      </c>
      <c r="I38" s="191">
        <v>8.62</v>
      </c>
      <c r="J38" s="191">
        <v>295.79</v>
      </c>
      <c r="K38" s="192">
        <v>0.09</v>
      </c>
      <c r="L38" s="191">
        <v>287.17</v>
      </c>
      <c r="M38" s="191">
        <v>9.06</v>
      </c>
      <c r="N38" s="191">
        <v>296.23</v>
      </c>
      <c r="O38" s="192">
        <v>0.09</v>
      </c>
      <c r="P38" s="191">
        <v>287.17</v>
      </c>
      <c r="Q38" s="191">
        <v>9.49</v>
      </c>
      <c r="R38" s="191">
        <v>296.66</v>
      </c>
      <c r="S38" s="192">
        <v>0.09</v>
      </c>
      <c r="T38" s="191">
        <v>287.17</v>
      </c>
      <c r="U38" s="191">
        <v>9.92</v>
      </c>
      <c r="V38" s="191">
        <v>297.09</v>
      </c>
      <c r="W38" s="192">
        <v>0.09</v>
      </c>
      <c r="X38" s="193">
        <v>287.17</v>
      </c>
      <c r="Y38" s="193">
        <v>10.35</v>
      </c>
      <c r="Z38" s="193">
        <v>297.52</v>
      </c>
      <c r="AA38" s="192">
        <v>0.09</v>
      </c>
      <c r="AB38" s="191">
        <v>287.17</v>
      </c>
      <c r="AC38" s="191">
        <v>11.21</v>
      </c>
      <c r="AD38" s="191">
        <v>298.38</v>
      </c>
      <c r="AE38" s="192">
        <v>0.09</v>
      </c>
      <c r="AF38" s="194">
        <v>325.66266</v>
      </c>
      <c r="AG38" s="195">
        <f t="shared" si="0"/>
        <v>298.526605</v>
      </c>
      <c r="AH38" s="194">
        <f t="shared" si="1"/>
        <v>325.66266</v>
      </c>
      <c r="AI38" s="196"/>
      <c r="AJ38" s="196"/>
    </row>
    <row r="39" s="166" customFormat="1" ht="24" customHeight="1" spans="1:36">
      <c r="A39" s="186">
        <v>36</v>
      </c>
      <c r="B39" s="211" t="s">
        <v>471</v>
      </c>
      <c r="C39" s="212" t="s">
        <v>472</v>
      </c>
      <c r="D39" s="213"/>
      <c r="E39" s="212" t="s">
        <v>76</v>
      </c>
      <c r="F39" s="190" t="s">
        <v>473</v>
      </c>
      <c r="G39" s="190"/>
      <c r="H39" s="191">
        <v>692.79</v>
      </c>
      <c r="I39" s="191">
        <v>20.79</v>
      </c>
      <c r="J39" s="191">
        <v>713.58</v>
      </c>
      <c r="K39" s="192">
        <v>0.09</v>
      </c>
      <c r="L39" s="191">
        <v>692.79</v>
      </c>
      <c r="M39" s="191">
        <v>21.83</v>
      </c>
      <c r="N39" s="191">
        <v>714.62</v>
      </c>
      <c r="O39" s="192">
        <v>0.09</v>
      </c>
      <c r="P39" s="191">
        <v>692.79</v>
      </c>
      <c r="Q39" s="191">
        <v>22.87</v>
      </c>
      <c r="R39" s="191">
        <v>715.66</v>
      </c>
      <c r="S39" s="192">
        <v>0.09</v>
      </c>
      <c r="T39" s="191">
        <v>692.79</v>
      </c>
      <c r="U39" s="191">
        <v>23.91</v>
      </c>
      <c r="V39" s="191">
        <v>716.7</v>
      </c>
      <c r="W39" s="192">
        <v>0.09</v>
      </c>
      <c r="X39" s="193">
        <v>692.79</v>
      </c>
      <c r="Y39" s="193">
        <v>24.95</v>
      </c>
      <c r="Z39" s="193">
        <v>717.74</v>
      </c>
      <c r="AA39" s="192">
        <v>0.09</v>
      </c>
      <c r="AB39" s="191">
        <v>692.79</v>
      </c>
      <c r="AC39" s="191">
        <v>27.03</v>
      </c>
      <c r="AD39" s="191">
        <v>719.82</v>
      </c>
      <c r="AE39" s="192">
        <v>0.09</v>
      </c>
      <c r="AF39" s="194">
        <v>785.63342</v>
      </c>
      <c r="AG39" s="195">
        <f t="shared" si="0"/>
        <v>720.163135</v>
      </c>
      <c r="AH39" s="194">
        <f t="shared" si="1"/>
        <v>785.63342</v>
      </c>
      <c r="AI39" s="196"/>
      <c r="AJ39" s="196"/>
    </row>
    <row r="40" s="166" customFormat="1" ht="24" customHeight="1" spans="1:36">
      <c r="A40" s="186">
        <v>37</v>
      </c>
      <c r="B40" s="211" t="s">
        <v>474</v>
      </c>
      <c r="C40" s="212" t="s">
        <v>475</v>
      </c>
      <c r="D40" s="213"/>
      <c r="E40" s="212" t="s">
        <v>73</v>
      </c>
      <c r="F40" s="190" t="s">
        <v>476</v>
      </c>
      <c r="G40" s="190"/>
      <c r="H40" s="191">
        <v>2073.38</v>
      </c>
      <c r="I40" s="191">
        <v>62.21</v>
      </c>
      <c r="J40" s="191">
        <v>2135.59</v>
      </c>
      <c r="K40" s="192">
        <v>0.09</v>
      </c>
      <c r="L40" s="191">
        <v>2073.38</v>
      </c>
      <c r="M40" s="191">
        <v>65.33</v>
      </c>
      <c r="N40" s="191">
        <v>2138.71</v>
      </c>
      <c r="O40" s="192">
        <v>0.09</v>
      </c>
      <c r="P40" s="191">
        <v>2073.38</v>
      </c>
      <c r="Q40" s="191">
        <v>68.44</v>
      </c>
      <c r="R40" s="191">
        <v>2141.82</v>
      </c>
      <c r="S40" s="192">
        <v>0.09</v>
      </c>
      <c r="T40" s="191">
        <v>2073.38</v>
      </c>
      <c r="U40" s="191">
        <v>71.55</v>
      </c>
      <c r="V40" s="191">
        <v>2144.93</v>
      </c>
      <c r="W40" s="192">
        <v>0.09</v>
      </c>
      <c r="X40" s="193">
        <v>2073.38</v>
      </c>
      <c r="Y40" s="193">
        <v>74.66</v>
      </c>
      <c r="Z40" s="193">
        <v>2148.04</v>
      </c>
      <c r="AA40" s="192">
        <v>0.09</v>
      </c>
      <c r="AB40" s="191">
        <v>2073.38</v>
      </c>
      <c r="AC40" s="191">
        <v>80.88</v>
      </c>
      <c r="AD40" s="191">
        <v>2154.26</v>
      </c>
      <c r="AE40" s="192">
        <v>0.09</v>
      </c>
      <c r="AF40" s="194">
        <v>2351.23124</v>
      </c>
      <c r="AG40" s="195">
        <f t="shared" si="0"/>
        <v>2155.29697</v>
      </c>
      <c r="AH40" s="194">
        <f t="shared" si="1"/>
        <v>2351.23124</v>
      </c>
      <c r="AI40" s="196"/>
      <c r="AJ40" s="196"/>
    </row>
    <row r="41" s="166" customFormat="1" ht="24" customHeight="1" spans="1:36">
      <c r="A41" s="186">
        <v>38</v>
      </c>
      <c r="B41" s="211" t="s">
        <v>477</v>
      </c>
      <c r="C41" s="212" t="s">
        <v>478</v>
      </c>
      <c r="D41" s="213"/>
      <c r="E41" s="212" t="s">
        <v>76</v>
      </c>
      <c r="F41" s="190" t="s">
        <v>479</v>
      </c>
      <c r="G41" s="190"/>
      <c r="H41" s="191">
        <v>371.92</v>
      </c>
      <c r="I41" s="191">
        <v>11.16</v>
      </c>
      <c r="J41" s="191">
        <v>383.08</v>
      </c>
      <c r="K41" s="192">
        <v>0.09</v>
      </c>
      <c r="L41" s="191">
        <v>371.92</v>
      </c>
      <c r="M41" s="191">
        <v>11.72</v>
      </c>
      <c r="N41" s="191">
        <v>383.64</v>
      </c>
      <c r="O41" s="192">
        <v>0.09</v>
      </c>
      <c r="P41" s="191">
        <v>371.92</v>
      </c>
      <c r="Q41" s="191">
        <v>12.28</v>
      </c>
      <c r="R41" s="191">
        <v>384.2</v>
      </c>
      <c r="S41" s="192">
        <v>0.09</v>
      </c>
      <c r="T41" s="191">
        <v>371.92</v>
      </c>
      <c r="U41" s="191">
        <v>12.84</v>
      </c>
      <c r="V41" s="191">
        <v>384.76</v>
      </c>
      <c r="W41" s="192">
        <v>0.09</v>
      </c>
      <c r="X41" s="193">
        <v>371.92</v>
      </c>
      <c r="Y41" s="193">
        <v>13.4</v>
      </c>
      <c r="Z41" s="193">
        <v>385.32</v>
      </c>
      <c r="AA41" s="192">
        <v>0.09</v>
      </c>
      <c r="AB41" s="191">
        <v>371.92</v>
      </c>
      <c r="AC41" s="191">
        <v>14.51</v>
      </c>
      <c r="AD41" s="191">
        <v>386.43</v>
      </c>
      <c r="AE41" s="192">
        <v>0.09</v>
      </c>
      <c r="AF41" s="194">
        <v>421.76816</v>
      </c>
      <c r="AG41" s="195">
        <f t="shared" si="0"/>
        <v>386.61748</v>
      </c>
      <c r="AH41" s="194">
        <f t="shared" si="1"/>
        <v>421.76816</v>
      </c>
      <c r="AI41" s="196"/>
      <c r="AJ41" s="196"/>
    </row>
    <row r="42" s="166" customFormat="1" ht="24" customHeight="1" spans="1:36">
      <c r="A42" s="186">
        <v>39</v>
      </c>
      <c r="B42" s="211" t="s">
        <v>480</v>
      </c>
      <c r="C42" s="212" t="s">
        <v>481</v>
      </c>
      <c r="D42" s="213"/>
      <c r="E42" s="212" t="s">
        <v>76</v>
      </c>
      <c r="F42" s="190" t="s">
        <v>482</v>
      </c>
      <c r="G42" s="190"/>
      <c r="H42" s="191">
        <v>117.81</v>
      </c>
      <c r="I42" s="191">
        <v>3.54</v>
      </c>
      <c r="J42" s="191">
        <v>121.35</v>
      </c>
      <c r="K42" s="192">
        <v>0.09</v>
      </c>
      <c r="L42" s="191">
        <v>117.81</v>
      </c>
      <c r="M42" s="191">
        <v>3.72</v>
      </c>
      <c r="N42" s="191">
        <v>121.53</v>
      </c>
      <c r="O42" s="192">
        <v>0.09</v>
      </c>
      <c r="P42" s="191">
        <v>117.81</v>
      </c>
      <c r="Q42" s="191">
        <v>3.9</v>
      </c>
      <c r="R42" s="191">
        <v>121.71</v>
      </c>
      <c r="S42" s="192">
        <v>0.09</v>
      </c>
      <c r="T42" s="191">
        <v>117.81</v>
      </c>
      <c r="U42" s="191">
        <v>4.08</v>
      </c>
      <c r="V42" s="191">
        <v>121.89</v>
      </c>
      <c r="W42" s="192">
        <v>0.09</v>
      </c>
      <c r="X42" s="193">
        <v>117.81</v>
      </c>
      <c r="Y42" s="193">
        <v>4.25</v>
      </c>
      <c r="Z42" s="193">
        <v>122.06</v>
      </c>
      <c r="AA42" s="192">
        <v>0.09</v>
      </c>
      <c r="AB42" s="191">
        <v>117.81</v>
      </c>
      <c r="AC42" s="191">
        <v>4.61</v>
      </c>
      <c r="AD42" s="191">
        <v>122.42</v>
      </c>
      <c r="AE42" s="192">
        <v>0.09</v>
      </c>
      <c r="AF42" s="194">
        <v>133.60538</v>
      </c>
      <c r="AG42" s="195">
        <f t="shared" si="0"/>
        <v>122.475765</v>
      </c>
      <c r="AH42" s="194">
        <f t="shared" si="1"/>
        <v>133.60538</v>
      </c>
      <c r="AI42" s="196"/>
      <c r="AJ42" s="196"/>
    </row>
    <row r="43" s="166" customFormat="1" ht="24" customHeight="1" spans="1:36">
      <c r="A43" s="186">
        <v>40</v>
      </c>
      <c r="B43" s="211" t="s">
        <v>483</v>
      </c>
      <c r="C43" s="212" t="s">
        <v>484</v>
      </c>
      <c r="D43" s="213"/>
      <c r="E43" s="212" t="s">
        <v>76</v>
      </c>
      <c r="F43" s="190" t="s">
        <v>485</v>
      </c>
      <c r="G43" s="190"/>
      <c r="H43" s="191">
        <v>350.29</v>
      </c>
      <c r="I43" s="191">
        <v>10.51</v>
      </c>
      <c r="J43" s="191">
        <v>360.8</v>
      </c>
      <c r="K43" s="192">
        <v>0.09</v>
      </c>
      <c r="L43" s="191">
        <v>350.29</v>
      </c>
      <c r="M43" s="191">
        <v>11.04</v>
      </c>
      <c r="N43" s="191">
        <v>361.33</v>
      </c>
      <c r="O43" s="192">
        <v>0.09</v>
      </c>
      <c r="P43" s="191">
        <v>350.29</v>
      </c>
      <c r="Q43" s="191">
        <v>11.57</v>
      </c>
      <c r="R43" s="191">
        <v>361.86</v>
      </c>
      <c r="S43" s="192">
        <v>0.09</v>
      </c>
      <c r="T43" s="191">
        <v>350.29</v>
      </c>
      <c r="U43" s="191">
        <v>12.09</v>
      </c>
      <c r="V43" s="191">
        <v>362.38</v>
      </c>
      <c r="W43" s="192">
        <v>0.09</v>
      </c>
      <c r="X43" s="193">
        <v>350.29</v>
      </c>
      <c r="Y43" s="193">
        <v>12.62</v>
      </c>
      <c r="Z43" s="193">
        <v>362.91</v>
      </c>
      <c r="AA43" s="192">
        <v>0.09</v>
      </c>
      <c r="AB43" s="191">
        <v>350.29</v>
      </c>
      <c r="AC43" s="191">
        <v>13.67</v>
      </c>
      <c r="AD43" s="191">
        <v>363.96</v>
      </c>
      <c r="AE43" s="192">
        <v>0.09</v>
      </c>
      <c r="AF43" s="194">
        <v>397.23842</v>
      </c>
      <c r="AG43" s="195">
        <f t="shared" si="0"/>
        <v>364.136885</v>
      </c>
      <c r="AH43" s="194">
        <f t="shared" si="1"/>
        <v>397.23842</v>
      </c>
      <c r="AI43" s="196"/>
      <c r="AJ43" s="196"/>
    </row>
    <row r="44" s="166" customFormat="1" ht="24" customHeight="1" spans="1:36">
      <c r="A44" s="186">
        <v>41</v>
      </c>
      <c r="B44" s="211" t="s">
        <v>486</v>
      </c>
      <c r="C44" s="212" t="s">
        <v>487</v>
      </c>
      <c r="D44" s="213"/>
      <c r="E44" s="212" t="s">
        <v>76</v>
      </c>
      <c r="F44" s="190" t="s">
        <v>488</v>
      </c>
      <c r="G44" s="190"/>
      <c r="H44" s="191">
        <v>333.15</v>
      </c>
      <c r="I44" s="191">
        <v>10</v>
      </c>
      <c r="J44" s="191">
        <v>343.15</v>
      </c>
      <c r="K44" s="192">
        <v>0.09</v>
      </c>
      <c r="L44" s="191">
        <v>333.15</v>
      </c>
      <c r="M44" s="191">
        <v>10.5</v>
      </c>
      <c r="N44" s="191">
        <v>343.65</v>
      </c>
      <c r="O44" s="192">
        <v>0.09</v>
      </c>
      <c r="P44" s="191">
        <v>333.15</v>
      </c>
      <c r="Q44" s="191">
        <v>11</v>
      </c>
      <c r="R44" s="191">
        <v>344.15</v>
      </c>
      <c r="S44" s="192">
        <v>0.09</v>
      </c>
      <c r="T44" s="191">
        <v>333.15</v>
      </c>
      <c r="U44" s="191">
        <v>11.5</v>
      </c>
      <c r="V44" s="191">
        <v>344.65</v>
      </c>
      <c r="W44" s="192">
        <v>0.09</v>
      </c>
      <c r="X44" s="193">
        <v>333.15</v>
      </c>
      <c r="Y44" s="193">
        <v>12</v>
      </c>
      <c r="Z44" s="193">
        <v>345.15</v>
      </c>
      <c r="AA44" s="192">
        <v>0.09</v>
      </c>
      <c r="AB44" s="191">
        <v>333.15</v>
      </c>
      <c r="AC44" s="191">
        <v>13</v>
      </c>
      <c r="AD44" s="191">
        <v>346.15</v>
      </c>
      <c r="AE44" s="192">
        <v>0.09</v>
      </c>
      <c r="AF44" s="194">
        <v>377.7987</v>
      </c>
      <c r="AG44" s="195">
        <f t="shared" si="0"/>
        <v>346.315475</v>
      </c>
      <c r="AH44" s="194">
        <f t="shared" si="1"/>
        <v>377.7987</v>
      </c>
      <c r="AI44" s="196"/>
      <c r="AJ44" s="196"/>
    </row>
    <row r="45" s="166" customFormat="1" ht="24" customHeight="1" spans="1:36">
      <c r="A45" s="186">
        <v>42</v>
      </c>
      <c r="B45" s="211" t="s">
        <v>489</v>
      </c>
      <c r="C45" s="212" t="s">
        <v>490</v>
      </c>
      <c r="D45" s="213"/>
      <c r="E45" s="212" t="s">
        <v>76</v>
      </c>
      <c r="F45" s="190" t="s">
        <v>491</v>
      </c>
      <c r="G45" s="190"/>
      <c r="H45" s="191">
        <v>576.49</v>
      </c>
      <c r="I45" s="191">
        <v>17.3</v>
      </c>
      <c r="J45" s="191">
        <v>593.79</v>
      </c>
      <c r="K45" s="192">
        <v>0.09</v>
      </c>
      <c r="L45" s="191">
        <v>576.49</v>
      </c>
      <c r="M45" s="191">
        <v>18.17</v>
      </c>
      <c r="N45" s="191">
        <v>594.66</v>
      </c>
      <c r="O45" s="192">
        <v>0.09</v>
      </c>
      <c r="P45" s="191">
        <v>576.49</v>
      </c>
      <c r="Q45" s="191">
        <v>19.03</v>
      </c>
      <c r="R45" s="191">
        <v>595.52</v>
      </c>
      <c r="S45" s="192">
        <v>0.09</v>
      </c>
      <c r="T45" s="191">
        <v>576.49</v>
      </c>
      <c r="U45" s="191">
        <v>19.9</v>
      </c>
      <c r="V45" s="191">
        <v>596.39</v>
      </c>
      <c r="W45" s="192">
        <v>0.09</v>
      </c>
      <c r="X45" s="193">
        <v>576.49</v>
      </c>
      <c r="Y45" s="193">
        <v>20.76</v>
      </c>
      <c r="Z45" s="193">
        <v>597.25</v>
      </c>
      <c r="AA45" s="192">
        <v>0.09</v>
      </c>
      <c r="AB45" s="191">
        <v>576.49</v>
      </c>
      <c r="AC45" s="191">
        <v>22.49</v>
      </c>
      <c r="AD45" s="191">
        <v>598.98</v>
      </c>
      <c r="AE45" s="192">
        <v>0.09</v>
      </c>
      <c r="AF45" s="194">
        <v>653.74602</v>
      </c>
      <c r="AG45" s="195">
        <f t="shared" si="0"/>
        <v>599.267185</v>
      </c>
      <c r="AH45" s="194">
        <f t="shared" si="1"/>
        <v>653.74602</v>
      </c>
      <c r="AI45" s="196"/>
      <c r="AJ45" s="196"/>
    </row>
    <row r="46" s="166" customFormat="1" ht="24" customHeight="1" spans="1:36">
      <c r="A46" s="186">
        <v>43</v>
      </c>
      <c r="B46" s="200" t="s">
        <v>492</v>
      </c>
      <c r="C46" s="212" t="s">
        <v>493</v>
      </c>
      <c r="D46" s="213"/>
      <c r="E46" s="212" t="s">
        <v>73</v>
      </c>
      <c r="F46" s="190" t="s">
        <v>494</v>
      </c>
      <c r="G46" s="190"/>
      <c r="H46" s="191">
        <v>330.76</v>
      </c>
      <c r="I46" s="191">
        <v>9.93</v>
      </c>
      <c r="J46" s="191">
        <v>340.69</v>
      </c>
      <c r="K46" s="192">
        <v>0.09</v>
      </c>
      <c r="L46" s="191">
        <v>330.76</v>
      </c>
      <c r="M46" s="191">
        <v>10.43</v>
      </c>
      <c r="N46" s="191">
        <v>341.19</v>
      </c>
      <c r="O46" s="192">
        <v>0.09</v>
      </c>
      <c r="P46" s="191">
        <v>330.76</v>
      </c>
      <c r="Q46" s="191">
        <v>10.93</v>
      </c>
      <c r="R46" s="191">
        <v>341.69</v>
      </c>
      <c r="S46" s="192">
        <v>0.09</v>
      </c>
      <c r="T46" s="191">
        <v>330.76</v>
      </c>
      <c r="U46" s="191">
        <v>11.42</v>
      </c>
      <c r="V46" s="191">
        <v>342.18</v>
      </c>
      <c r="W46" s="192">
        <v>0.09</v>
      </c>
      <c r="X46" s="193">
        <v>330.76</v>
      </c>
      <c r="Y46" s="193">
        <v>11.92</v>
      </c>
      <c r="Z46" s="193">
        <v>342.68</v>
      </c>
      <c r="AA46" s="192">
        <v>0.09</v>
      </c>
      <c r="AB46" s="191">
        <v>330.76</v>
      </c>
      <c r="AC46" s="191">
        <v>12.91</v>
      </c>
      <c r="AD46" s="191">
        <v>343.67</v>
      </c>
      <c r="AE46" s="192">
        <v>0.09</v>
      </c>
      <c r="AF46" s="194">
        <v>375.09448</v>
      </c>
      <c r="AG46" s="195">
        <f t="shared" si="0"/>
        <v>343.83994</v>
      </c>
      <c r="AH46" s="194">
        <f t="shared" si="1"/>
        <v>375.09448</v>
      </c>
      <c r="AI46" s="196"/>
      <c r="AJ46" s="196"/>
    </row>
    <row r="47" s="166" customFormat="1" ht="24" customHeight="1" spans="1:36">
      <c r="A47" s="186">
        <v>44</v>
      </c>
      <c r="B47" s="211" t="s">
        <v>495</v>
      </c>
      <c r="C47" s="212" t="s">
        <v>496</v>
      </c>
      <c r="D47" s="213"/>
      <c r="E47" s="212" t="s">
        <v>73</v>
      </c>
      <c r="F47" s="190" t="s">
        <v>497</v>
      </c>
      <c r="G47" s="190"/>
      <c r="H47" s="191">
        <v>536.13</v>
      </c>
      <c r="I47" s="191">
        <v>16.09</v>
      </c>
      <c r="J47" s="191">
        <v>552.22</v>
      </c>
      <c r="K47" s="192">
        <v>0.09</v>
      </c>
      <c r="L47" s="191">
        <v>536.13</v>
      </c>
      <c r="M47" s="191">
        <v>16.9</v>
      </c>
      <c r="N47" s="191">
        <v>553.03</v>
      </c>
      <c r="O47" s="192">
        <v>0.09</v>
      </c>
      <c r="P47" s="191">
        <v>536.13</v>
      </c>
      <c r="Q47" s="191">
        <v>17.7</v>
      </c>
      <c r="R47" s="191">
        <v>553.83</v>
      </c>
      <c r="S47" s="192">
        <v>0.09</v>
      </c>
      <c r="T47" s="191">
        <v>536.13</v>
      </c>
      <c r="U47" s="191">
        <v>18.51</v>
      </c>
      <c r="V47" s="191">
        <v>554.64</v>
      </c>
      <c r="W47" s="192">
        <v>0.09</v>
      </c>
      <c r="X47" s="193">
        <v>536.13</v>
      </c>
      <c r="Y47" s="193">
        <v>19.31</v>
      </c>
      <c r="Z47" s="193">
        <v>555.44</v>
      </c>
      <c r="AA47" s="192">
        <v>0.09</v>
      </c>
      <c r="AB47" s="191">
        <v>536.13</v>
      </c>
      <c r="AC47" s="191">
        <v>20.92</v>
      </c>
      <c r="AD47" s="191">
        <v>557.05</v>
      </c>
      <c r="AE47" s="192">
        <v>0.09</v>
      </c>
      <c r="AF47" s="194">
        <v>607.98074</v>
      </c>
      <c r="AG47" s="195">
        <f t="shared" si="0"/>
        <v>557.314845</v>
      </c>
      <c r="AH47" s="194">
        <f t="shared" si="1"/>
        <v>607.98074</v>
      </c>
      <c r="AI47" s="196"/>
      <c r="AJ47" s="196"/>
    </row>
    <row r="48" s="166" customFormat="1" ht="24" customHeight="1" spans="1:36">
      <c r="A48" s="186">
        <v>45</v>
      </c>
      <c r="B48" s="211" t="s">
        <v>498</v>
      </c>
      <c r="C48" s="212" t="s">
        <v>499</v>
      </c>
      <c r="D48" s="213"/>
      <c r="E48" s="212" t="s">
        <v>357</v>
      </c>
      <c r="F48" s="190" t="s">
        <v>500</v>
      </c>
      <c r="G48" s="190"/>
      <c r="H48" s="191">
        <v>2970.87</v>
      </c>
      <c r="I48" s="191">
        <v>89.13</v>
      </c>
      <c r="J48" s="191">
        <v>3060</v>
      </c>
      <c r="K48" s="192">
        <v>0.09</v>
      </c>
      <c r="L48" s="191">
        <v>2970.87</v>
      </c>
      <c r="M48" s="191">
        <v>93.59</v>
      </c>
      <c r="N48" s="191">
        <v>3064.46</v>
      </c>
      <c r="O48" s="192">
        <v>0.09</v>
      </c>
      <c r="P48" s="191">
        <v>2970.87</v>
      </c>
      <c r="Q48" s="191">
        <v>98.05</v>
      </c>
      <c r="R48" s="191">
        <v>3068.92</v>
      </c>
      <c r="S48" s="192">
        <v>0.09</v>
      </c>
      <c r="T48" s="191">
        <v>2970.87</v>
      </c>
      <c r="U48" s="191">
        <v>102.5</v>
      </c>
      <c r="V48" s="191">
        <v>3073.37</v>
      </c>
      <c r="W48" s="192">
        <v>0.09</v>
      </c>
      <c r="X48" s="193">
        <v>2970.87</v>
      </c>
      <c r="Y48" s="193">
        <v>106.96</v>
      </c>
      <c r="Z48" s="193">
        <v>3077.83</v>
      </c>
      <c r="AA48" s="192">
        <v>0.09</v>
      </c>
      <c r="AB48" s="191">
        <v>2970.87</v>
      </c>
      <c r="AC48" s="191">
        <v>115.87</v>
      </c>
      <c r="AD48" s="191">
        <v>3086.74</v>
      </c>
      <c r="AE48" s="192">
        <v>0.09</v>
      </c>
      <c r="AF48" s="194">
        <v>3368.97526</v>
      </c>
      <c r="AG48" s="195">
        <f t="shared" ref="AG48:AG79" si="2">(P48*0.915*1.1)+Q48</f>
        <v>3088.230655</v>
      </c>
      <c r="AH48" s="194">
        <f t="shared" ref="AH48:AH79" si="3">(X48*0.915*1.2)+Y48</f>
        <v>3368.97526</v>
      </c>
      <c r="AI48" s="196"/>
      <c r="AJ48" s="196"/>
    </row>
    <row r="49" s="166" customFormat="1" ht="24" customHeight="1" spans="1:36">
      <c r="A49" s="186">
        <v>46</v>
      </c>
      <c r="B49" s="211" t="s">
        <v>501</v>
      </c>
      <c r="C49" s="214" t="s">
        <v>502</v>
      </c>
      <c r="D49" s="200"/>
      <c r="E49" s="189" t="s">
        <v>18</v>
      </c>
      <c r="F49" s="190" t="s">
        <v>503</v>
      </c>
      <c r="G49" s="190"/>
      <c r="H49" s="191">
        <v>1553.4</v>
      </c>
      <c r="I49" s="191">
        <v>46.61</v>
      </c>
      <c r="J49" s="191">
        <v>1600.01</v>
      </c>
      <c r="K49" s="192">
        <v>0.09</v>
      </c>
      <c r="L49" s="191">
        <v>1553.4</v>
      </c>
      <c r="M49" s="191">
        <v>48.95</v>
      </c>
      <c r="N49" s="191">
        <v>1602.35</v>
      </c>
      <c r="O49" s="192">
        <v>0.09</v>
      </c>
      <c r="P49" s="191">
        <v>1553.4</v>
      </c>
      <c r="Q49" s="191">
        <v>51.28</v>
      </c>
      <c r="R49" s="191">
        <v>1604.68</v>
      </c>
      <c r="S49" s="192">
        <v>0.09</v>
      </c>
      <c r="T49" s="191">
        <v>1553.4</v>
      </c>
      <c r="U49" s="191">
        <v>53.61</v>
      </c>
      <c r="V49" s="191">
        <v>1607.01</v>
      </c>
      <c r="W49" s="192">
        <v>0.09</v>
      </c>
      <c r="X49" s="193">
        <v>1553.4</v>
      </c>
      <c r="Y49" s="193">
        <v>55.94</v>
      </c>
      <c r="Z49" s="193">
        <v>1609.34</v>
      </c>
      <c r="AA49" s="192">
        <v>0.09</v>
      </c>
      <c r="AB49" s="191">
        <v>1553.4</v>
      </c>
      <c r="AC49" s="191">
        <v>60.6</v>
      </c>
      <c r="AD49" s="191">
        <v>1614</v>
      </c>
      <c r="AE49" s="192">
        <v>0.09</v>
      </c>
      <c r="AF49" s="194">
        <v>1761.5732</v>
      </c>
      <c r="AG49" s="195">
        <f t="shared" si="2"/>
        <v>1614.7771</v>
      </c>
      <c r="AH49" s="194">
        <f t="shared" si="3"/>
        <v>1761.5732</v>
      </c>
      <c r="AI49" s="196"/>
      <c r="AJ49" s="196"/>
    </row>
    <row r="50" s="166" customFormat="1" ht="24" customHeight="1" spans="1:36">
      <c r="A50" s="186">
        <v>47</v>
      </c>
      <c r="B50" s="215" t="s">
        <v>504</v>
      </c>
      <c r="C50" s="213" t="s">
        <v>505</v>
      </c>
      <c r="D50" s="213"/>
      <c r="E50" s="212" t="s">
        <v>73</v>
      </c>
      <c r="F50" s="215" t="s">
        <v>506</v>
      </c>
      <c r="G50" s="215"/>
      <c r="H50" s="191">
        <v>304.42</v>
      </c>
      <c r="I50" s="191">
        <v>9.14</v>
      </c>
      <c r="J50" s="191">
        <v>313.56</v>
      </c>
      <c r="K50" s="192">
        <v>0.09</v>
      </c>
      <c r="L50" s="191">
        <v>304.42</v>
      </c>
      <c r="M50" s="191">
        <v>9.6</v>
      </c>
      <c r="N50" s="191">
        <v>314.02</v>
      </c>
      <c r="O50" s="192">
        <v>0.09</v>
      </c>
      <c r="P50" s="191">
        <v>304.42</v>
      </c>
      <c r="Q50" s="191">
        <v>10.06</v>
      </c>
      <c r="R50" s="191">
        <v>314.48</v>
      </c>
      <c r="S50" s="192">
        <v>0.09</v>
      </c>
      <c r="T50" s="191">
        <v>304.42</v>
      </c>
      <c r="U50" s="191">
        <v>10.52</v>
      </c>
      <c r="V50" s="191">
        <v>314.94</v>
      </c>
      <c r="W50" s="192">
        <v>0.09</v>
      </c>
      <c r="X50" s="193">
        <v>304.42</v>
      </c>
      <c r="Y50" s="193">
        <v>10.97</v>
      </c>
      <c r="Z50" s="193">
        <v>315.39</v>
      </c>
      <c r="AA50" s="192">
        <v>0.09</v>
      </c>
      <c r="AB50" s="191">
        <v>304.42</v>
      </c>
      <c r="AC50" s="191">
        <v>11.89</v>
      </c>
      <c r="AD50" s="191">
        <v>316.31</v>
      </c>
      <c r="AE50" s="192">
        <v>0.09</v>
      </c>
      <c r="AF50" s="194">
        <v>345.22316</v>
      </c>
      <c r="AG50" s="195">
        <f t="shared" si="2"/>
        <v>316.45873</v>
      </c>
      <c r="AH50" s="194">
        <f t="shared" si="3"/>
        <v>345.22316</v>
      </c>
      <c r="AI50" s="196"/>
      <c r="AJ50" s="196"/>
    </row>
    <row r="51" s="166" customFormat="1" ht="24" customHeight="1" spans="1:36">
      <c r="A51" s="186">
        <v>48</v>
      </c>
      <c r="B51" s="187" t="s">
        <v>507</v>
      </c>
      <c r="C51" s="186" t="s">
        <v>508</v>
      </c>
      <c r="D51" s="186" t="s">
        <v>509</v>
      </c>
      <c r="E51" s="189" t="s">
        <v>510</v>
      </c>
      <c r="F51" s="190" t="s">
        <v>511</v>
      </c>
      <c r="G51" s="190"/>
      <c r="H51" s="191">
        <v>817.86</v>
      </c>
      <c r="I51" s="191">
        <v>24.54</v>
      </c>
      <c r="J51" s="191">
        <v>842.4</v>
      </c>
      <c r="K51" s="192">
        <v>0.09</v>
      </c>
      <c r="L51" s="191">
        <v>817.86</v>
      </c>
      <c r="M51" s="191">
        <v>25.77</v>
      </c>
      <c r="N51" s="191">
        <v>843.63</v>
      </c>
      <c r="O51" s="192">
        <v>0.09</v>
      </c>
      <c r="P51" s="191">
        <v>817.86</v>
      </c>
      <c r="Q51" s="191">
        <v>27</v>
      </c>
      <c r="R51" s="191">
        <v>844.86</v>
      </c>
      <c r="S51" s="192">
        <v>0.09</v>
      </c>
      <c r="T51" s="191">
        <v>817.86</v>
      </c>
      <c r="U51" s="191">
        <v>28.23</v>
      </c>
      <c r="V51" s="191">
        <v>846.09</v>
      </c>
      <c r="W51" s="192">
        <v>0.09</v>
      </c>
      <c r="X51" s="193">
        <v>817.86</v>
      </c>
      <c r="Y51" s="193">
        <v>29.45</v>
      </c>
      <c r="Z51" s="193">
        <v>847.31</v>
      </c>
      <c r="AA51" s="192">
        <v>0.09</v>
      </c>
      <c r="AB51" s="191">
        <v>817.86</v>
      </c>
      <c r="AC51" s="191">
        <v>31.91</v>
      </c>
      <c r="AD51" s="191">
        <v>849.77</v>
      </c>
      <c r="AE51" s="192">
        <v>0.09</v>
      </c>
      <c r="AF51" s="194">
        <v>927.46028</v>
      </c>
      <c r="AG51" s="195">
        <f t="shared" si="2"/>
        <v>850.17609</v>
      </c>
      <c r="AH51" s="194">
        <f t="shared" si="3"/>
        <v>927.46028</v>
      </c>
      <c r="AI51" s="196"/>
      <c r="AJ51" s="196"/>
    </row>
    <row r="52" s="166" customFormat="1" ht="24" customHeight="1" spans="1:36">
      <c r="A52" s="186">
        <v>49</v>
      </c>
      <c r="B52" s="187" t="s">
        <v>512</v>
      </c>
      <c r="C52" s="186" t="s">
        <v>508</v>
      </c>
      <c r="D52" s="186" t="s">
        <v>513</v>
      </c>
      <c r="E52" s="189" t="s">
        <v>510</v>
      </c>
      <c r="F52" s="190" t="s">
        <v>514</v>
      </c>
      <c r="G52" s="190"/>
      <c r="H52" s="191">
        <v>1224.69</v>
      </c>
      <c r="I52" s="191">
        <v>36.75</v>
      </c>
      <c r="J52" s="191">
        <v>1261.44</v>
      </c>
      <c r="K52" s="192">
        <v>0.09</v>
      </c>
      <c r="L52" s="191">
        <v>1224.69</v>
      </c>
      <c r="M52" s="191">
        <v>38.59</v>
      </c>
      <c r="N52" s="191">
        <v>1263.28</v>
      </c>
      <c r="O52" s="192">
        <v>0.09</v>
      </c>
      <c r="P52" s="191">
        <v>1224.69</v>
      </c>
      <c r="Q52" s="191">
        <v>40.43</v>
      </c>
      <c r="R52" s="191">
        <v>1265.12</v>
      </c>
      <c r="S52" s="192">
        <v>0.09</v>
      </c>
      <c r="T52" s="191">
        <v>1224.69</v>
      </c>
      <c r="U52" s="191">
        <v>42.27</v>
      </c>
      <c r="V52" s="191">
        <v>1266.96</v>
      </c>
      <c r="W52" s="192">
        <v>0.09</v>
      </c>
      <c r="X52" s="193">
        <v>1224.69</v>
      </c>
      <c r="Y52" s="193">
        <v>44.1</v>
      </c>
      <c r="Z52" s="193">
        <v>1268.79</v>
      </c>
      <c r="AA52" s="192">
        <v>0.09</v>
      </c>
      <c r="AB52" s="191">
        <v>1224.69</v>
      </c>
      <c r="AC52" s="191">
        <v>47.78</v>
      </c>
      <c r="AD52" s="191">
        <v>1272.47</v>
      </c>
      <c r="AE52" s="192">
        <v>0.09</v>
      </c>
      <c r="AF52" s="194">
        <v>1388.80962</v>
      </c>
      <c r="AG52" s="195">
        <f t="shared" si="2"/>
        <v>1273.080485</v>
      </c>
      <c r="AH52" s="194">
        <f t="shared" si="3"/>
        <v>1388.80962</v>
      </c>
      <c r="AI52" s="196"/>
      <c r="AJ52" s="196"/>
    </row>
    <row r="53" s="166" customFormat="1" ht="24" customHeight="1" spans="1:36">
      <c r="A53" s="186">
        <v>50</v>
      </c>
      <c r="B53" s="187" t="s">
        <v>515</v>
      </c>
      <c r="C53" s="186" t="s">
        <v>508</v>
      </c>
      <c r="D53" s="186" t="s">
        <v>516</v>
      </c>
      <c r="E53" s="189" t="s">
        <v>510</v>
      </c>
      <c r="F53" s="190" t="s">
        <v>517</v>
      </c>
      <c r="G53" s="190"/>
      <c r="H53" s="191">
        <v>1631.5</v>
      </c>
      <c r="I53" s="191">
        <v>48.95</v>
      </c>
      <c r="J53" s="191">
        <v>1680.45</v>
      </c>
      <c r="K53" s="192">
        <v>0.09</v>
      </c>
      <c r="L53" s="191">
        <v>1631.5</v>
      </c>
      <c r="M53" s="191">
        <v>51.4</v>
      </c>
      <c r="N53" s="191">
        <v>1682.9</v>
      </c>
      <c r="O53" s="192">
        <v>0.09</v>
      </c>
      <c r="P53" s="191">
        <v>1631.5</v>
      </c>
      <c r="Q53" s="191">
        <v>53.85</v>
      </c>
      <c r="R53" s="191">
        <v>1685.35</v>
      </c>
      <c r="S53" s="192">
        <v>0.09</v>
      </c>
      <c r="T53" s="191">
        <v>1631.5</v>
      </c>
      <c r="U53" s="191">
        <v>56.3</v>
      </c>
      <c r="V53" s="191">
        <v>1687.8</v>
      </c>
      <c r="W53" s="192">
        <v>0.09</v>
      </c>
      <c r="X53" s="193">
        <v>1631.5</v>
      </c>
      <c r="Y53" s="193">
        <v>58.74</v>
      </c>
      <c r="Z53" s="193">
        <v>1690.24</v>
      </c>
      <c r="AA53" s="192">
        <v>0.09</v>
      </c>
      <c r="AB53" s="191">
        <v>1631.5</v>
      </c>
      <c r="AC53" s="191">
        <v>63.64</v>
      </c>
      <c r="AD53" s="191">
        <v>1695.14</v>
      </c>
      <c r="AE53" s="192">
        <v>0.09</v>
      </c>
      <c r="AF53" s="194">
        <v>1850.127</v>
      </c>
      <c r="AG53" s="195">
        <f t="shared" si="2"/>
        <v>1695.95475</v>
      </c>
      <c r="AH53" s="194">
        <f t="shared" si="3"/>
        <v>1850.127</v>
      </c>
      <c r="AI53" s="196"/>
      <c r="AJ53" s="196"/>
    </row>
    <row r="54" s="168" customFormat="1" ht="24" customHeight="1" spans="1:36">
      <c r="A54" s="186">
        <v>51</v>
      </c>
      <c r="B54" s="200" t="s">
        <v>518</v>
      </c>
      <c r="C54" s="214" t="s">
        <v>519</v>
      </c>
      <c r="D54" s="190"/>
      <c r="E54" s="190" t="s">
        <v>76</v>
      </c>
      <c r="F54" s="190" t="s">
        <v>520</v>
      </c>
      <c r="G54" s="190"/>
      <c r="H54" s="191">
        <v>145.63</v>
      </c>
      <c r="I54" s="191">
        <v>4.37</v>
      </c>
      <c r="J54" s="191">
        <v>150</v>
      </c>
      <c r="K54" s="192">
        <v>0.09</v>
      </c>
      <c r="L54" s="191">
        <v>145.63</v>
      </c>
      <c r="M54" s="191">
        <v>4.59</v>
      </c>
      <c r="N54" s="191">
        <v>150.22</v>
      </c>
      <c r="O54" s="192">
        <v>0.09</v>
      </c>
      <c r="P54" s="191">
        <v>145.63</v>
      </c>
      <c r="Q54" s="191">
        <v>4.81</v>
      </c>
      <c r="R54" s="191">
        <v>150.44</v>
      </c>
      <c r="S54" s="192">
        <v>0.09</v>
      </c>
      <c r="T54" s="191">
        <v>145.63</v>
      </c>
      <c r="U54" s="191">
        <v>5.03</v>
      </c>
      <c r="V54" s="191">
        <v>150.66</v>
      </c>
      <c r="W54" s="192">
        <v>0.09</v>
      </c>
      <c r="X54" s="193">
        <v>145.63</v>
      </c>
      <c r="Y54" s="193">
        <v>5.25</v>
      </c>
      <c r="Z54" s="193">
        <v>150.88</v>
      </c>
      <c r="AA54" s="192">
        <v>0.09</v>
      </c>
      <c r="AB54" s="191">
        <v>145.63</v>
      </c>
      <c r="AC54" s="191">
        <v>5.69</v>
      </c>
      <c r="AD54" s="191">
        <v>151.32</v>
      </c>
      <c r="AE54" s="192">
        <v>0.09</v>
      </c>
      <c r="AF54" s="194">
        <v>165.15174</v>
      </c>
      <c r="AG54" s="195">
        <f t="shared" si="2"/>
        <v>151.386595</v>
      </c>
      <c r="AH54" s="194">
        <f t="shared" si="3"/>
        <v>165.15174</v>
      </c>
      <c r="AI54" s="196"/>
      <c r="AJ54" s="196"/>
    </row>
    <row r="55" s="168" customFormat="1" ht="24" customHeight="1" spans="1:36">
      <c r="A55" s="186">
        <v>52</v>
      </c>
      <c r="B55" s="190" t="s">
        <v>521</v>
      </c>
      <c r="C55" s="214" t="s">
        <v>522</v>
      </c>
      <c r="D55" s="190"/>
      <c r="E55" s="190" t="s">
        <v>76</v>
      </c>
      <c r="F55" s="190" t="s">
        <v>520</v>
      </c>
      <c r="G55" s="190"/>
      <c r="H55" s="191">
        <v>108.5</v>
      </c>
      <c r="I55" s="191">
        <v>3.26</v>
      </c>
      <c r="J55" s="191">
        <v>111.76</v>
      </c>
      <c r="K55" s="192">
        <v>0.09</v>
      </c>
      <c r="L55" s="191">
        <v>108.5</v>
      </c>
      <c r="M55" s="191">
        <v>3.43</v>
      </c>
      <c r="N55" s="191">
        <v>111.93</v>
      </c>
      <c r="O55" s="192">
        <v>0.09</v>
      </c>
      <c r="P55" s="191">
        <v>108.5</v>
      </c>
      <c r="Q55" s="191">
        <v>3.59</v>
      </c>
      <c r="R55" s="191">
        <v>112.09</v>
      </c>
      <c r="S55" s="192">
        <v>0.09</v>
      </c>
      <c r="T55" s="191">
        <v>108.5</v>
      </c>
      <c r="U55" s="191">
        <v>3.75</v>
      </c>
      <c r="V55" s="191">
        <v>112.25</v>
      </c>
      <c r="W55" s="192">
        <v>0.09</v>
      </c>
      <c r="X55" s="193">
        <v>108.5</v>
      </c>
      <c r="Y55" s="193">
        <v>3.92</v>
      </c>
      <c r="Z55" s="193">
        <v>112.42</v>
      </c>
      <c r="AA55" s="192">
        <v>0.09</v>
      </c>
      <c r="AB55" s="191">
        <v>108.5</v>
      </c>
      <c r="AC55" s="191">
        <v>4.24</v>
      </c>
      <c r="AD55" s="191">
        <v>112.74</v>
      </c>
      <c r="AE55" s="192">
        <v>0.09</v>
      </c>
      <c r="AF55" s="194">
        <v>123.053</v>
      </c>
      <c r="AG55" s="195">
        <f t="shared" si="2"/>
        <v>112.79525</v>
      </c>
      <c r="AH55" s="194">
        <f t="shared" si="3"/>
        <v>123.053</v>
      </c>
      <c r="AI55" s="196"/>
      <c r="AJ55" s="196"/>
    </row>
    <row r="56" s="166" customFormat="1" ht="24" customHeight="1" spans="1:36">
      <c r="A56" s="186">
        <v>53</v>
      </c>
      <c r="B56" s="190" t="s">
        <v>523</v>
      </c>
      <c r="C56" s="214" t="s">
        <v>524</v>
      </c>
      <c r="D56" s="214" t="s">
        <v>525</v>
      </c>
      <c r="E56" s="199" t="s">
        <v>18</v>
      </c>
      <c r="F56" s="190" t="s">
        <v>526</v>
      </c>
      <c r="G56" s="190"/>
      <c r="H56" s="191">
        <v>2893.2</v>
      </c>
      <c r="I56" s="191">
        <v>86.8</v>
      </c>
      <c r="J56" s="191">
        <v>2980</v>
      </c>
      <c r="K56" s="192">
        <v>0.09</v>
      </c>
      <c r="L56" s="191">
        <v>2893.2</v>
      </c>
      <c r="M56" s="191">
        <v>91.14</v>
      </c>
      <c r="N56" s="191">
        <v>2984.34</v>
      </c>
      <c r="O56" s="192">
        <v>0.09</v>
      </c>
      <c r="P56" s="191">
        <v>2893.2</v>
      </c>
      <c r="Q56" s="191">
        <v>95.48</v>
      </c>
      <c r="R56" s="191">
        <v>2988.68</v>
      </c>
      <c r="S56" s="192">
        <v>0.09</v>
      </c>
      <c r="T56" s="191">
        <v>2893.2</v>
      </c>
      <c r="U56" s="191">
        <v>99.82</v>
      </c>
      <c r="V56" s="191">
        <v>2993.02</v>
      </c>
      <c r="W56" s="192">
        <v>0.09</v>
      </c>
      <c r="X56" s="193">
        <v>2893.2</v>
      </c>
      <c r="Y56" s="193">
        <v>104.16</v>
      </c>
      <c r="Z56" s="193">
        <v>2997.36</v>
      </c>
      <c r="AA56" s="192">
        <v>0.09</v>
      </c>
      <c r="AB56" s="191">
        <v>2893.2</v>
      </c>
      <c r="AC56" s="191">
        <v>112.84</v>
      </c>
      <c r="AD56" s="191">
        <v>3006.04</v>
      </c>
      <c r="AE56" s="192">
        <v>0.09</v>
      </c>
      <c r="AF56" s="194">
        <v>3280.8936</v>
      </c>
      <c r="AG56" s="195">
        <f t="shared" si="2"/>
        <v>3007.4858</v>
      </c>
      <c r="AH56" s="194">
        <f t="shared" si="3"/>
        <v>3280.8936</v>
      </c>
      <c r="AI56" s="196"/>
      <c r="AJ56" s="196"/>
    </row>
    <row r="57" s="166" customFormat="1" ht="24" customHeight="1" spans="1:36">
      <c r="A57" s="186">
        <v>54</v>
      </c>
      <c r="B57" s="190" t="s">
        <v>527</v>
      </c>
      <c r="C57" s="214" t="s">
        <v>524</v>
      </c>
      <c r="D57" s="214" t="s">
        <v>528</v>
      </c>
      <c r="E57" s="199" t="s">
        <v>18</v>
      </c>
      <c r="F57" s="190" t="s">
        <v>529</v>
      </c>
      <c r="G57" s="190"/>
      <c r="H57" s="191">
        <v>2223.3</v>
      </c>
      <c r="I57" s="191">
        <v>66.7</v>
      </c>
      <c r="J57" s="191">
        <v>2290</v>
      </c>
      <c r="K57" s="192">
        <v>0.09</v>
      </c>
      <c r="L57" s="191">
        <v>2223.3</v>
      </c>
      <c r="M57" s="191">
        <v>70.04</v>
      </c>
      <c r="N57" s="191">
        <v>2293.34</v>
      </c>
      <c r="O57" s="192">
        <v>0.09</v>
      </c>
      <c r="P57" s="191">
        <v>2223.3</v>
      </c>
      <c r="Q57" s="191">
        <v>73.37</v>
      </c>
      <c r="R57" s="191">
        <v>2296.67</v>
      </c>
      <c r="S57" s="192">
        <v>0.09</v>
      </c>
      <c r="T57" s="191">
        <v>2223.3</v>
      </c>
      <c r="U57" s="191">
        <v>76.71</v>
      </c>
      <c r="V57" s="191">
        <v>2300.01</v>
      </c>
      <c r="W57" s="192">
        <v>0.09</v>
      </c>
      <c r="X57" s="193">
        <v>2223.3</v>
      </c>
      <c r="Y57" s="193">
        <v>80.04</v>
      </c>
      <c r="Z57" s="193">
        <v>2303.34</v>
      </c>
      <c r="AA57" s="192">
        <v>0.09</v>
      </c>
      <c r="AB57" s="191">
        <v>2223.3</v>
      </c>
      <c r="AC57" s="191">
        <v>86.71</v>
      </c>
      <c r="AD57" s="191">
        <v>2310.01</v>
      </c>
      <c r="AE57" s="192">
        <v>0.09</v>
      </c>
      <c r="AF57" s="194">
        <v>2521.2234</v>
      </c>
      <c r="AG57" s="195">
        <f t="shared" si="2"/>
        <v>2311.12145</v>
      </c>
      <c r="AH57" s="194">
        <f t="shared" si="3"/>
        <v>2521.2234</v>
      </c>
      <c r="AI57" s="196"/>
      <c r="AJ57" s="196"/>
    </row>
    <row r="58" s="166" customFormat="1" ht="24" customHeight="1" spans="1:36">
      <c r="A58" s="186">
        <v>55</v>
      </c>
      <c r="B58" s="190" t="s">
        <v>530</v>
      </c>
      <c r="C58" s="214" t="s">
        <v>524</v>
      </c>
      <c r="D58" s="214" t="s">
        <v>531</v>
      </c>
      <c r="E58" s="199" t="s">
        <v>18</v>
      </c>
      <c r="F58" s="190" t="s">
        <v>532</v>
      </c>
      <c r="G58" s="190"/>
      <c r="H58" s="191">
        <v>1553.39</v>
      </c>
      <c r="I58" s="191">
        <v>46.61</v>
      </c>
      <c r="J58" s="191">
        <v>1600</v>
      </c>
      <c r="K58" s="192">
        <v>0.09</v>
      </c>
      <c r="L58" s="191">
        <v>1553.39</v>
      </c>
      <c r="M58" s="191">
        <v>48.95</v>
      </c>
      <c r="N58" s="191">
        <v>1602.34</v>
      </c>
      <c r="O58" s="192">
        <v>0.09</v>
      </c>
      <c r="P58" s="191">
        <v>1553.39</v>
      </c>
      <c r="Q58" s="191">
        <v>51.28</v>
      </c>
      <c r="R58" s="191">
        <v>1604.67</v>
      </c>
      <c r="S58" s="192">
        <v>0.09</v>
      </c>
      <c r="T58" s="191">
        <v>1553.39</v>
      </c>
      <c r="U58" s="191">
        <v>53.61</v>
      </c>
      <c r="V58" s="191">
        <v>1607</v>
      </c>
      <c r="W58" s="192">
        <v>0.09</v>
      </c>
      <c r="X58" s="193">
        <v>1553.39</v>
      </c>
      <c r="Y58" s="193">
        <v>55.94</v>
      </c>
      <c r="Z58" s="193">
        <v>1609.33</v>
      </c>
      <c r="AA58" s="192">
        <v>0.09</v>
      </c>
      <c r="AB58" s="191">
        <v>1553.39</v>
      </c>
      <c r="AC58" s="191">
        <v>60.6</v>
      </c>
      <c r="AD58" s="191">
        <v>1613.99</v>
      </c>
      <c r="AE58" s="192">
        <v>0.09</v>
      </c>
      <c r="AF58" s="194">
        <v>1761.56222</v>
      </c>
      <c r="AG58" s="195">
        <f t="shared" si="2"/>
        <v>1614.767035</v>
      </c>
      <c r="AH58" s="194">
        <f t="shared" si="3"/>
        <v>1761.56222</v>
      </c>
      <c r="AI58" s="196"/>
      <c r="AJ58" s="196"/>
    </row>
    <row r="59" s="166" customFormat="1" ht="24" customHeight="1" spans="1:36">
      <c r="A59" s="186">
        <v>56</v>
      </c>
      <c r="B59" s="190" t="s">
        <v>533</v>
      </c>
      <c r="C59" s="214" t="s">
        <v>524</v>
      </c>
      <c r="D59" s="214" t="s">
        <v>534</v>
      </c>
      <c r="E59" s="199" t="s">
        <v>18</v>
      </c>
      <c r="F59" s="190" t="s">
        <v>535</v>
      </c>
      <c r="G59" s="190"/>
      <c r="H59" s="191">
        <v>883.49</v>
      </c>
      <c r="I59" s="191">
        <v>26.51</v>
      </c>
      <c r="J59" s="191">
        <v>910</v>
      </c>
      <c r="K59" s="192">
        <v>0.09</v>
      </c>
      <c r="L59" s="191">
        <v>883.49</v>
      </c>
      <c r="M59" s="191">
        <v>27.84</v>
      </c>
      <c r="N59" s="191">
        <v>911.33</v>
      </c>
      <c r="O59" s="192">
        <v>0.09</v>
      </c>
      <c r="P59" s="191">
        <v>883.49</v>
      </c>
      <c r="Q59" s="191">
        <v>29.17</v>
      </c>
      <c r="R59" s="191">
        <v>912.66</v>
      </c>
      <c r="S59" s="192">
        <v>0.09</v>
      </c>
      <c r="T59" s="191">
        <v>883.49</v>
      </c>
      <c r="U59" s="191">
        <v>30.49</v>
      </c>
      <c r="V59" s="191">
        <v>913.98</v>
      </c>
      <c r="W59" s="192">
        <v>0.09</v>
      </c>
      <c r="X59" s="193">
        <v>883.49</v>
      </c>
      <c r="Y59" s="193">
        <v>31.82</v>
      </c>
      <c r="Z59" s="193">
        <v>915.31</v>
      </c>
      <c r="AA59" s="192">
        <v>0.09</v>
      </c>
      <c r="AB59" s="191">
        <v>883.49</v>
      </c>
      <c r="AC59" s="191">
        <v>34.47</v>
      </c>
      <c r="AD59" s="191">
        <v>917.96</v>
      </c>
      <c r="AE59" s="192">
        <v>0.09</v>
      </c>
      <c r="AF59" s="194">
        <v>1001.89202</v>
      </c>
      <c r="AG59" s="195">
        <f t="shared" si="2"/>
        <v>918.402685</v>
      </c>
      <c r="AH59" s="194">
        <f t="shared" si="3"/>
        <v>1001.89202</v>
      </c>
      <c r="AI59" s="196"/>
      <c r="AJ59" s="196"/>
    </row>
    <row r="60" s="166" customFormat="1" ht="24" customHeight="1" spans="1:36">
      <c r="A60" s="186">
        <v>57</v>
      </c>
      <c r="B60" s="187" t="s">
        <v>536</v>
      </c>
      <c r="C60" s="188" t="s">
        <v>537</v>
      </c>
      <c r="D60" s="188"/>
      <c r="E60" s="212" t="s">
        <v>73</v>
      </c>
      <c r="F60" s="215" t="s">
        <v>538</v>
      </c>
      <c r="G60" s="213"/>
      <c r="H60" s="216">
        <v>961.57</v>
      </c>
      <c r="I60" s="216">
        <v>28.85</v>
      </c>
      <c r="J60" s="191">
        <v>990.42</v>
      </c>
      <c r="K60" s="192">
        <v>0.09</v>
      </c>
      <c r="L60" s="216">
        <v>961.57</v>
      </c>
      <c r="M60" s="191">
        <v>30.3</v>
      </c>
      <c r="N60" s="191">
        <v>991.87</v>
      </c>
      <c r="O60" s="192">
        <v>0.09</v>
      </c>
      <c r="P60" s="216">
        <v>961.57</v>
      </c>
      <c r="Q60" s="191">
        <v>31.74</v>
      </c>
      <c r="R60" s="191">
        <v>993.31</v>
      </c>
      <c r="S60" s="192">
        <v>0.09</v>
      </c>
      <c r="T60" s="216">
        <v>961.57</v>
      </c>
      <c r="U60" s="191">
        <v>33.18</v>
      </c>
      <c r="V60" s="191">
        <v>994.75</v>
      </c>
      <c r="W60" s="192">
        <v>0.09</v>
      </c>
      <c r="X60" s="217">
        <v>961.57</v>
      </c>
      <c r="Y60" s="193">
        <v>34.62</v>
      </c>
      <c r="Z60" s="193">
        <v>996.19</v>
      </c>
      <c r="AA60" s="192">
        <v>0.09</v>
      </c>
      <c r="AB60" s="216">
        <v>961.57</v>
      </c>
      <c r="AC60" s="191">
        <v>37.51</v>
      </c>
      <c r="AD60" s="191">
        <v>999.08</v>
      </c>
      <c r="AE60" s="192">
        <v>0.09</v>
      </c>
      <c r="AF60" s="194">
        <v>1090.42386</v>
      </c>
      <c r="AG60" s="195">
        <f t="shared" si="2"/>
        <v>999.560205</v>
      </c>
      <c r="AH60" s="194">
        <f t="shared" si="3"/>
        <v>1090.42386</v>
      </c>
      <c r="AI60" s="196"/>
      <c r="AJ60" s="196"/>
    </row>
    <row r="61" s="166" customFormat="1" ht="24" customHeight="1" spans="1:36">
      <c r="A61" s="186">
        <v>58</v>
      </c>
      <c r="B61" s="187" t="s">
        <v>539</v>
      </c>
      <c r="C61" s="188" t="s">
        <v>540</v>
      </c>
      <c r="D61" s="188" t="s">
        <v>541</v>
      </c>
      <c r="E61" s="212" t="s">
        <v>18</v>
      </c>
      <c r="F61" s="215" t="s">
        <v>542</v>
      </c>
      <c r="G61" s="213"/>
      <c r="H61" s="216">
        <v>594.17</v>
      </c>
      <c r="I61" s="216">
        <v>17.83</v>
      </c>
      <c r="J61" s="191">
        <v>612</v>
      </c>
      <c r="K61" s="192">
        <v>0.09</v>
      </c>
      <c r="L61" s="216">
        <v>594.17</v>
      </c>
      <c r="M61" s="191">
        <v>18.73</v>
      </c>
      <c r="N61" s="191">
        <v>612.9</v>
      </c>
      <c r="O61" s="192">
        <v>0.09</v>
      </c>
      <c r="P61" s="216">
        <v>594.17</v>
      </c>
      <c r="Q61" s="191">
        <v>19.62</v>
      </c>
      <c r="R61" s="191">
        <v>613.79</v>
      </c>
      <c r="S61" s="192">
        <v>0.09</v>
      </c>
      <c r="T61" s="216">
        <v>594.17</v>
      </c>
      <c r="U61" s="191">
        <v>20.51</v>
      </c>
      <c r="V61" s="191">
        <v>614.68</v>
      </c>
      <c r="W61" s="192">
        <v>0.09</v>
      </c>
      <c r="X61" s="217">
        <v>594.17</v>
      </c>
      <c r="Y61" s="193">
        <v>21.4</v>
      </c>
      <c r="Z61" s="193">
        <v>615.57</v>
      </c>
      <c r="AA61" s="192">
        <v>0.09</v>
      </c>
      <c r="AB61" s="216">
        <v>594.17</v>
      </c>
      <c r="AC61" s="191">
        <v>23.18</v>
      </c>
      <c r="AD61" s="191">
        <v>617.35</v>
      </c>
      <c r="AE61" s="192">
        <v>0.09</v>
      </c>
      <c r="AF61" s="194">
        <v>673.79866</v>
      </c>
      <c r="AG61" s="195">
        <f t="shared" si="2"/>
        <v>617.652105</v>
      </c>
      <c r="AH61" s="194">
        <f t="shared" si="3"/>
        <v>673.79866</v>
      </c>
      <c r="AI61" s="196"/>
      <c r="AJ61" s="196"/>
    </row>
    <row r="62" s="166" customFormat="1" ht="24" customHeight="1" spans="1:36">
      <c r="A62" s="186">
        <v>59</v>
      </c>
      <c r="B62" s="187" t="s">
        <v>543</v>
      </c>
      <c r="C62" s="188" t="s">
        <v>544</v>
      </c>
      <c r="D62" s="188"/>
      <c r="E62" s="212" t="s">
        <v>390</v>
      </c>
      <c r="F62" s="215" t="s">
        <v>545</v>
      </c>
      <c r="G62" s="213"/>
      <c r="H62" s="216">
        <v>62.38</v>
      </c>
      <c r="I62" s="216">
        <v>1.88</v>
      </c>
      <c r="J62" s="191">
        <v>64.26</v>
      </c>
      <c r="K62" s="192">
        <v>0.09</v>
      </c>
      <c r="L62" s="216">
        <v>62.38</v>
      </c>
      <c r="M62" s="191">
        <v>1.98</v>
      </c>
      <c r="N62" s="191">
        <v>64.36</v>
      </c>
      <c r="O62" s="192">
        <v>0.09</v>
      </c>
      <c r="P62" s="216">
        <v>62.38</v>
      </c>
      <c r="Q62" s="191">
        <v>2.07</v>
      </c>
      <c r="R62" s="191">
        <v>64.45</v>
      </c>
      <c r="S62" s="192">
        <v>0.09</v>
      </c>
      <c r="T62" s="216">
        <v>62.38</v>
      </c>
      <c r="U62" s="191">
        <v>2.17</v>
      </c>
      <c r="V62" s="191">
        <v>64.55</v>
      </c>
      <c r="W62" s="192">
        <v>0.09</v>
      </c>
      <c r="X62" s="217">
        <v>62.38</v>
      </c>
      <c r="Y62" s="193">
        <v>2.26</v>
      </c>
      <c r="Z62" s="193">
        <v>64.64</v>
      </c>
      <c r="AA62" s="192">
        <v>0.09</v>
      </c>
      <c r="AB62" s="216">
        <v>62.38</v>
      </c>
      <c r="AC62" s="191">
        <v>2.45</v>
      </c>
      <c r="AD62" s="191">
        <v>64.83</v>
      </c>
      <c r="AE62" s="192">
        <v>0.09</v>
      </c>
      <c r="AF62" s="194">
        <v>70.75324</v>
      </c>
      <c r="AG62" s="195">
        <f t="shared" si="2"/>
        <v>64.85547</v>
      </c>
      <c r="AH62" s="194">
        <f t="shared" si="3"/>
        <v>70.75324</v>
      </c>
      <c r="AI62" s="196"/>
      <c r="AJ62" s="196"/>
    </row>
    <row r="63" s="166" customFormat="1" ht="24" customHeight="1" spans="1:36">
      <c r="A63" s="186">
        <v>60</v>
      </c>
      <c r="B63" s="187" t="s">
        <v>546</v>
      </c>
      <c r="C63" s="213" t="s">
        <v>547</v>
      </c>
      <c r="D63" s="213" t="s">
        <v>548</v>
      </c>
      <c r="E63" s="212" t="s">
        <v>18</v>
      </c>
      <c r="F63" s="213" t="s">
        <v>549</v>
      </c>
      <c r="G63" s="213"/>
      <c r="H63" s="216">
        <v>776.38</v>
      </c>
      <c r="I63" s="216">
        <v>23.3</v>
      </c>
      <c r="J63" s="191">
        <v>799.68</v>
      </c>
      <c r="K63" s="192">
        <v>0.09</v>
      </c>
      <c r="L63" s="216">
        <v>776.38</v>
      </c>
      <c r="M63" s="191">
        <v>24.47</v>
      </c>
      <c r="N63" s="191">
        <v>800.85</v>
      </c>
      <c r="O63" s="192">
        <v>0.09</v>
      </c>
      <c r="P63" s="216">
        <v>776.38</v>
      </c>
      <c r="Q63" s="191">
        <v>25.63</v>
      </c>
      <c r="R63" s="191">
        <v>802.01</v>
      </c>
      <c r="S63" s="192">
        <v>0.09</v>
      </c>
      <c r="T63" s="216">
        <v>776.38</v>
      </c>
      <c r="U63" s="191">
        <v>26.8</v>
      </c>
      <c r="V63" s="191">
        <v>803.18</v>
      </c>
      <c r="W63" s="192">
        <v>0.09</v>
      </c>
      <c r="X63" s="217">
        <v>776.38</v>
      </c>
      <c r="Y63" s="193">
        <v>27.96</v>
      </c>
      <c r="Z63" s="193">
        <v>804.34</v>
      </c>
      <c r="AA63" s="192">
        <v>0.09</v>
      </c>
      <c r="AB63" s="216">
        <v>776.38</v>
      </c>
      <c r="AC63" s="191">
        <v>30.29</v>
      </c>
      <c r="AD63" s="191">
        <v>806.67</v>
      </c>
      <c r="AE63" s="192">
        <v>0.09</v>
      </c>
      <c r="AF63" s="194">
        <v>880.42524</v>
      </c>
      <c r="AG63" s="195">
        <f t="shared" si="2"/>
        <v>807.05647</v>
      </c>
      <c r="AH63" s="194">
        <f t="shared" si="3"/>
        <v>880.42524</v>
      </c>
      <c r="AI63" s="196"/>
      <c r="AJ63" s="196"/>
    </row>
    <row r="64" s="166" customFormat="1" ht="24" customHeight="1" spans="1:36">
      <c r="A64" s="186">
        <v>61</v>
      </c>
      <c r="B64" s="215" t="s">
        <v>550</v>
      </c>
      <c r="C64" s="212" t="s">
        <v>551</v>
      </c>
      <c r="D64" s="213"/>
      <c r="E64" s="212" t="s">
        <v>73</v>
      </c>
      <c r="F64" s="213" t="s">
        <v>552</v>
      </c>
      <c r="G64" s="213"/>
      <c r="H64" s="216">
        <v>512.41</v>
      </c>
      <c r="I64" s="216">
        <v>15.38</v>
      </c>
      <c r="J64" s="191">
        <v>527.79</v>
      </c>
      <c r="K64" s="192">
        <v>0.09</v>
      </c>
      <c r="L64" s="216">
        <v>512.41</v>
      </c>
      <c r="M64" s="191">
        <v>16.15</v>
      </c>
      <c r="N64" s="191">
        <v>528.56</v>
      </c>
      <c r="O64" s="192">
        <v>0.09</v>
      </c>
      <c r="P64" s="216">
        <v>512.41</v>
      </c>
      <c r="Q64" s="191">
        <v>16.92</v>
      </c>
      <c r="R64" s="191">
        <v>529.33</v>
      </c>
      <c r="S64" s="192">
        <v>0.09</v>
      </c>
      <c r="T64" s="216">
        <v>512.41</v>
      </c>
      <c r="U64" s="191">
        <v>17.69</v>
      </c>
      <c r="V64" s="191">
        <v>530.1</v>
      </c>
      <c r="W64" s="192">
        <v>0.09</v>
      </c>
      <c r="X64" s="217">
        <v>512.41</v>
      </c>
      <c r="Y64" s="193">
        <v>18.46</v>
      </c>
      <c r="Z64" s="193">
        <v>530.87</v>
      </c>
      <c r="AA64" s="192">
        <v>0.09</v>
      </c>
      <c r="AB64" s="216">
        <v>512.41</v>
      </c>
      <c r="AC64" s="191">
        <v>20</v>
      </c>
      <c r="AD64" s="191">
        <v>532.41</v>
      </c>
      <c r="AE64" s="192">
        <v>0.09</v>
      </c>
      <c r="AF64" s="194">
        <v>581.08618</v>
      </c>
      <c r="AG64" s="195">
        <f t="shared" si="2"/>
        <v>532.660665</v>
      </c>
      <c r="AH64" s="194">
        <f t="shared" si="3"/>
        <v>581.08618</v>
      </c>
      <c r="AI64" s="196"/>
      <c r="AJ64" s="196"/>
    </row>
    <row r="65" s="166" customFormat="1" ht="24" customHeight="1" spans="1:36">
      <c r="A65" s="186">
        <v>62</v>
      </c>
      <c r="B65" s="215" t="s">
        <v>553</v>
      </c>
      <c r="C65" s="212" t="s">
        <v>554</v>
      </c>
      <c r="D65" s="213"/>
      <c r="E65" s="212" t="s">
        <v>390</v>
      </c>
      <c r="F65" s="213" t="s">
        <v>555</v>
      </c>
      <c r="G65" s="213"/>
      <c r="H65" s="216">
        <v>20.36</v>
      </c>
      <c r="I65" s="216">
        <v>0.62</v>
      </c>
      <c r="J65" s="191">
        <v>20.98</v>
      </c>
      <c r="K65" s="192">
        <v>0.09</v>
      </c>
      <c r="L65" s="216">
        <v>20.36</v>
      </c>
      <c r="M65" s="191">
        <v>0.66</v>
      </c>
      <c r="N65" s="191">
        <v>21.02</v>
      </c>
      <c r="O65" s="192">
        <v>0.09</v>
      </c>
      <c r="P65" s="216">
        <v>20.36</v>
      </c>
      <c r="Q65" s="191">
        <v>0.69</v>
      </c>
      <c r="R65" s="191">
        <v>21.05</v>
      </c>
      <c r="S65" s="192">
        <v>0.09</v>
      </c>
      <c r="T65" s="216">
        <v>20.36</v>
      </c>
      <c r="U65" s="191">
        <v>0.72</v>
      </c>
      <c r="V65" s="191">
        <v>21.08</v>
      </c>
      <c r="W65" s="192">
        <v>0.09</v>
      </c>
      <c r="X65" s="217">
        <v>20.36</v>
      </c>
      <c r="Y65" s="193">
        <v>0.75</v>
      </c>
      <c r="Z65" s="193">
        <v>21.11</v>
      </c>
      <c r="AA65" s="192">
        <v>0.09</v>
      </c>
      <c r="AB65" s="216">
        <v>20.36</v>
      </c>
      <c r="AC65" s="191">
        <v>0.81</v>
      </c>
      <c r="AD65" s="191">
        <v>21.17</v>
      </c>
      <c r="AE65" s="192">
        <v>0.09</v>
      </c>
      <c r="AF65" s="194">
        <v>23.10528</v>
      </c>
      <c r="AG65" s="195">
        <f t="shared" si="2"/>
        <v>21.18234</v>
      </c>
      <c r="AH65" s="194">
        <f t="shared" si="3"/>
        <v>23.10528</v>
      </c>
      <c r="AI65" s="196"/>
      <c r="AJ65" s="196"/>
    </row>
    <row r="66" s="166" customFormat="1" ht="24" customHeight="1" spans="1:36">
      <c r="A66" s="186">
        <v>63</v>
      </c>
      <c r="B66" s="215" t="s">
        <v>556</v>
      </c>
      <c r="C66" s="212" t="s">
        <v>557</v>
      </c>
      <c r="D66" s="213"/>
      <c r="E66" s="212" t="s">
        <v>378</v>
      </c>
      <c r="F66" s="215" t="s">
        <v>558</v>
      </c>
      <c r="G66" s="213"/>
      <c r="H66" s="216">
        <v>14563.1</v>
      </c>
      <c r="I66" s="216">
        <v>436.9</v>
      </c>
      <c r="J66" s="191">
        <v>15000</v>
      </c>
      <c r="K66" s="192">
        <v>0.09</v>
      </c>
      <c r="L66" s="216">
        <v>14563.1</v>
      </c>
      <c r="M66" s="191">
        <v>458.75</v>
      </c>
      <c r="N66" s="191">
        <v>15021.85</v>
      </c>
      <c r="O66" s="192">
        <v>0.09</v>
      </c>
      <c r="P66" s="216">
        <v>14563.1</v>
      </c>
      <c r="Q66" s="191">
        <v>480.59</v>
      </c>
      <c r="R66" s="191">
        <v>15043.69</v>
      </c>
      <c r="S66" s="192">
        <v>0.09</v>
      </c>
      <c r="T66" s="216">
        <v>14563.1</v>
      </c>
      <c r="U66" s="191">
        <v>502.44</v>
      </c>
      <c r="V66" s="191">
        <v>15065.54</v>
      </c>
      <c r="W66" s="192">
        <v>0.09</v>
      </c>
      <c r="X66" s="217">
        <v>14563.1</v>
      </c>
      <c r="Y66" s="193">
        <v>524.28</v>
      </c>
      <c r="Z66" s="193">
        <v>15087.38</v>
      </c>
      <c r="AA66" s="192">
        <v>0.09</v>
      </c>
      <c r="AB66" s="216">
        <v>14563.1</v>
      </c>
      <c r="AC66" s="191">
        <v>567.97</v>
      </c>
      <c r="AD66" s="191">
        <v>15131.07</v>
      </c>
      <c r="AE66" s="192">
        <v>0.09</v>
      </c>
      <c r="AF66" s="194">
        <v>16514.5638</v>
      </c>
      <c r="AG66" s="195">
        <f t="shared" si="2"/>
        <v>15138.35015</v>
      </c>
      <c r="AH66" s="194">
        <f t="shared" si="3"/>
        <v>16514.5638</v>
      </c>
      <c r="AI66" s="196"/>
      <c r="AJ66" s="196"/>
    </row>
    <row r="67" s="166" customFormat="1" ht="24" customHeight="1" spans="1:36">
      <c r="A67" s="186">
        <v>64</v>
      </c>
      <c r="B67" s="215" t="s">
        <v>559</v>
      </c>
      <c r="C67" s="212" t="s">
        <v>560</v>
      </c>
      <c r="D67" s="213"/>
      <c r="E67" s="212" t="s">
        <v>73</v>
      </c>
      <c r="F67" s="215" t="s">
        <v>561</v>
      </c>
      <c r="G67" s="213"/>
      <c r="H67" s="216">
        <v>712.62</v>
      </c>
      <c r="I67" s="216">
        <v>21.38</v>
      </c>
      <c r="J67" s="191">
        <v>734</v>
      </c>
      <c r="K67" s="192">
        <v>0.09</v>
      </c>
      <c r="L67" s="216">
        <v>712.62</v>
      </c>
      <c r="M67" s="191">
        <v>22.45</v>
      </c>
      <c r="N67" s="191">
        <v>735.07</v>
      </c>
      <c r="O67" s="192">
        <v>0.09</v>
      </c>
      <c r="P67" s="216">
        <v>712.62</v>
      </c>
      <c r="Q67" s="191">
        <v>23.52</v>
      </c>
      <c r="R67" s="191">
        <v>736.14</v>
      </c>
      <c r="S67" s="192">
        <v>0.09</v>
      </c>
      <c r="T67" s="216">
        <v>712.62</v>
      </c>
      <c r="U67" s="191">
        <v>24.59</v>
      </c>
      <c r="V67" s="191">
        <v>737.21</v>
      </c>
      <c r="W67" s="192">
        <v>0.09</v>
      </c>
      <c r="X67" s="217">
        <v>712.62</v>
      </c>
      <c r="Y67" s="193">
        <v>25.66</v>
      </c>
      <c r="Z67" s="193">
        <v>738.28</v>
      </c>
      <c r="AA67" s="192">
        <v>0.09</v>
      </c>
      <c r="AB67" s="216">
        <v>712.62</v>
      </c>
      <c r="AC67" s="191">
        <v>27.8</v>
      </c>
      <c r="AD67" s="191">
        <v>740.42</v>
      </c>
      <c r="AE67" s="192">
        <v>0.09</v>
      </c>
      <c r="AF67" s="194">
        <v>808.11676</v>
      </c>
      <c r="AG67" s="195">
        <f t="shared" si="2"/>
        <v>740.77203</v>
      </c>
      <c r="AH67" s="194">
        <f t="shared" si="3"/>
        <v>808.11676</v>
      </c>
      <c r="AI67" s="196"/>
      <c r="AJ67" s="196"/>
    </row>
    <row r="68" s="166" customFormat="1" ht="24" customHeight="1" spans="1:36">
      <c r="A68" s="186">
        <v>65</v>
      </c>
      <c r="B68" s="215" t="s">
        <v>562</v>
      </c>
      <c r="C68" s="212" t="s">
        <v>563</v>
      </c>
      <c r="D68" s="213"/>
      <c r="E68" s="212" t="s">
        <v>73</v>
      </c>
      <c r="F68" s="215" t="s">
        <v>564</v>
      </c>
      <c r="G68" s="213"/>
      <c r="H68" s="216">
        <v>929.84</v>
      </c>
      <c r="I68" s="216">
        <v>27.9</v>
      </c>
      <c r="J68" s="191">
        <v>957.74</v>
      </c>
      <c r="K68" s="192">
        <v>0.09</v>
      </c>
      <c r="L68" s="216">
        <v>929.84</v>
      </c>
      <c r="M68" s="191">
        <v>29.3</v>
      </c>
      <c r="N68" s="191">
        <v>959.14</v>
      </c>
      <c r="O68" s="192">
        <v>0.09</v>
      </c>
      <c r="P68" s="216">
        <v>929.84</v>
      </c>
      <c r="Q68" s="191">
        <v>30.69</v>
      </c>
      <c r="R68" s="191">
        <v>960.53</v>
      </c>
      <c r="S68" s="192">
        <v>0.09</v>
      </c>
      <c r="T68" s="216">
        <v>929.84</v>
      </c>
      <c r="U68" s="191">
        <v>32.09</v>
      </c>
      <c r="V68" s="191">
        <v>961.93</v>
      </c>
      <c r="W68" s="192">
        <v>0.09</v>
      </c>
      <c r="X68" s="217">
        <v>929.84</v>
      </c>
      <c r="Y68" s="193">
        <v>33.48</v>
      </c>
      <c r="Z68" s="193">
        <v>963.32</v>
      </c>
      <c r="AA68" s="192">
        <v>0.09</v>
      </c>
      <c r="AB68" s="216">
        <v>929.84</v>
      </c>
      <c r="AC68" s="191">
        <v>36.27</v>
      </c>
      <c r="AD68" s="191">
        <v>966.11</v>
      </c>
      <c r="AE68" s="192">
        <v>0.09</v>
      </c>
      <c r="AF68" s="194">
        <v>1054.44432</v>
      </c>
      <c r="AG68" s="195">
        <f t="shared" si="2"/>
        <v>966.57396</v>
      </c>
      <c r="AH68" s="194">
        <f t="shared" si="3"/>
        <v>1054.44432</v>
      </c>
      <c r="AI68" s="196"/>
      <c r="AJ68" s="196"/>
    </row>
    <row r="69" s="166" customFormat="1" ht="24" customHeight="1" spans="1:36">
      <c r="A69" s="186">
        <v>66</v>
      </c>
      <c r="B69" s="213" t="s">
        <v>565</v>
      </c>
      <c r="C69" s="212" t="s">
        <v>566</v>
      </c>
      <c r="D69" s="213"/>
      <c r="E69" s="212" t="s">
        <v>76</v>
      </c>
      <c r="F69" s="215" t="s">
        <v>567</v>
      </c>
      <c r="G69" s="213"/>
      <c r="H69" s="216">
        <v>92.99</v>
      </c>
      <c r="I69" s="216">
        <v>2.79</v>
      </c>
      <c r="J69" s="191">
        <v>95.78</v>
      </c>
      <c r="K69" s="192">
        <v>0.09</v>
      </c>
      <c r="L69" s="216">
        <v>92.99</v>
      </c>
      <c r="M69" s="191">
        <v>2.93</v>
      </c>
      <c r="N69" s="191">
        <v>95.92</v>
      </c>
      <c r="O69" s="192">
        <v>0.09</v>
      </c>
      <c r="P69" s="216">
        <v>92.99</v>
      </c>
      <c r="Q69" s="191">
        <v>3.07</v>
      </c>
      <c r="R69" s="191">
        <v>96.06</v>
      </c>
      <c r="S69" s="192">
        <v>0.09</v>
      </c>
      <c r="T69" s="216">
        <v>92.99</v>
      </c>
      <c r="U69" s="191">
        <v>3.21</v>
      </c>
      <c r="V69" s="191">
        <v>96.2</v>
      </c>
      <c r="W69" s="192">
        <v>0.09</v>
      </c>
      <c r="X69" s="217">
        <v>92.99</v>
      </c>
      <c r="Y69" s="193">
        <v>3.35</v>
      </c>
      <c r="Z69" s="193">
        <v>96.34</v>
      </c>
      <c r="AA69" s="192">
        <v>0.09</v>
      </c>
      <c r="AB69" s="216">
        <v>92.99</v>
      </c>
      <c r="AC69" s="191">
        <v>3.63</v>
      </c>
      <c r="AD69" s="191">
        <v>96.62</v>
      </c>
      <c r="AE69" s="192">
        <v>0.09</v>
      </c>
      <c r="AF69" s="194">
        <v>105.45302</v>
      </c>
      <c r="AG69" s="195">
        <f t="shared" si="2"/>
        <v>96.664435</v>
      </c>
      <c r="AH69" s="194">
        <f t="shared" si="3"/>
        <v>105.45302</v>
      </c>
      <c r="AI69" s="196"/>
      <c r="AJ69" s="196"/>
    </row>
    <row r="70" s="166" customFormat="1" ht="24" customHeight="1" spans="1:36">
      <c r="A70" s="186">
        <v>67</v>
      </c>
      <c r="B70" s="213" t="s">
        <v>568</v>
      </c>
      <c r="C70" s="212" t="s">
        <v>569</v>
      </c>
      <c r="D70" s="213"/>
      <c r="E70" s="212" t="s">
        <v>76</v>
      </c>
      <c r="F70" s="215" t="s">
        <v>570</v>
      </c>
      <c r="G70" s="213"/>
      <c r="H70" s="216">
        <v>305.65</v>
      </c>
      <c r="I70" s="216">
        <v>9.17</v>
      </c>
      <c r="J70" s="191">
        <v>314.82</v>
      </c>
      <c r="K70" s="192">
        <v>0.09</v>
      </c>
      <c r="L70" s="216">
        <v>305.65</v>
      </c>
      <c r="M70" s="191">
        <v>9.63</v>
      </c>
      <c r="N70" s="191">
        <v>315.28</v>
      </c>
      <c r="O70" s="192">
        <v>0.09</v>
      </c>
      <c r="P70" s="216">
        <v>305.65</v>
      </c>
      <c r="Q70" s="191">
        <v>10.09</v>
      </c>
      <c r="R70" s="191">
        <v>315.74</v>
      </c>
      <c r="S70" s="192">
        <v>0.09</v>
      </c>
      <c r="T70" s="216">
        <v>305.65</v>
      </c>
      <c r="U70" s="191">
        <v>10.55</v>
      </c>
      <c r="V70" s="191">
        <v>316.2</v>
      </c>
      <c r="W70" s="192">
        <v>0.09</v>
      </c>
      <c r="X70" s="217">
        <v>305.65</v>
      </c>
      <c r="Y70" s="193">
        <v>11.01</v>
      </c>
      <c r="Z70" s="193">
        <v>316.66</v>
      </c>
      <c r="AA70" s="192">
        <v>0.09</v>
      </c>
      <c r="AB70" s="216">
        <v>305.65</v>
      </c>
      <c r="AC70" s="191">
        <v>11.93</v>
      </c>
      <c r="AD70" s="191">
        <v>317.58</v>
      </c>
      <c r="AE70" s="192">
        <v>0.09</v>
      </c>
      <c r="AF70" s="194">
        <v>346.6137</v>
      </c>
      <c r="AG70" s="195">
        <f t="shared" si="2"/>
        <v>317.726725</v>
      </c>
      <c r="AH70" s="194">
        <f t="shared" si="3"/>
        <v>346.6137</v>
      </c>
      <c r="AI70" s="196"/>
      <c r="AJ70" s="196"/>
    </row>
    <row r="71" s="166" customFormat="1" ht="24" customHeight="1" spans="1:36">
      <c r="A71" s="186">
        <v>68</v>
      </c>
      <c r="B71" s="213" t="s">
        <v>571</v>
      </c>
      <c r="C71" s="212" t="s">
        <v>572</v>
      </c>
      <c r="D71" s="213"/>
      <c r="E71" s="212" t="s">
        <v>73</v>
      </c>
      <c r="F71" s="215" t="s">
        <v>573</v>
      </c>
      <c r="G71" s="213"/>
      <c r="H71" s="216">
        <v>643.25</v>
      </c>
      <c r="I71" s="216">
        <v>19.3</v>
      </c>
      <c r="J71" s="191">
        <v>662.55</v>
      </c>
      <c r="K71" s="192">
        <v>0.09</v>
      </c>
      <c r="L71" s="216">
        <v>643.25</v>
      </c>
      <c r="M71" s="191">
        <v>20.27</v>
      </c>
      <c r="N71" s="191">
        <v>663.52</v>
      </c>
      <c r="O71" s="192">
        <v>0.09</v>
      </c>
      <c r="P71" s="216">
        <v>643.25</v>
      </c>
      <c r="Q71" s="191">
        <v>21.23</v>
      </c>
      <c r="R71" s="191">
        <v>664.48</v>
      </c>
      <c r="S71" s="192">
        <v>0.09</v>
      </c>
      <c r="T71" s="216">
        <v>643.25</v>
      </c>
      <c r="U71" s="191">
        <v>22.2</v>
      </c>
      <c r="V71" s="191">
        <v>665.45</v>
      </c>
      <c r="W71" s="192">
        <v>0.09</v>
      </c>
      <c r="X71" s="217">
        <v>643.25</v>
      </c>
      <c r="Y71" s="193">
        <v>23.16</v>
      </c>
      <c r="Z71" s="193">
        <v>666.41</v>
      </c>
      <c r="AA71" s="192">
        <v>0.09</v>
      </c>
      <c r="AB71" s="216">
        <v>643.25</v>
      </c>
      <c r="AC71" s="191">
        <v>25.09</v>
      </c>
      <c r="AD71" s="191">
        <v>668.34</v>
      </c>
      <c r="AE71" s="192">
        <v>0.09</v>
      </c>
      <c r="AF71" s="194">
        <v>729.4485</v>
      </c>
      <c r="AG71" s="195">
        <f t="shared" si="2"/>
        <v>668.661125</v>
      </c>
      <c r="AH71" s="194">
        <f t="shared" si="3"/>
        <v>729.4485</v>
      </c>
      <c r="AI71" s="196"/>
      <c r="AJ71" s="196"/>
    </row>
    <row r="72" s="166" customFormat="1" ht="24" customHeight="1" spans="1:36">
      <c r="A72" s="186">
        <v>69</v>
      </c>
      <c r="B72" s="188" t="s">
        <v>574</v>
      </c>
      <c r="C72" s="188" t="s">
        <v>575</v>
      </c>
      <c r="D72" s="188"/>
      <c r="E72" s="212" t="s">
        <v>73</v>
      </c>
      <c r="F72" s="215" t="s">
        <v>576</v>
      </c>
      <c r="G72" s="213"/>
      <c r="H72" s="216">
        <v>1731.02</v>
      </c>
      <c r="I72" s="216">
        <v>51.94</v>
      </c>
      <c r="J72" s="191">
        <v>1782.96</v>
      </c>
      <c r="K72" s="192">
        <v>0.09</v>
      </c>
      <c r="L72" s="216">
        <v>1731.02</v>
      </c>
      <c r="M72" s="191">
        <v>54.54</v>
      </c>
      <c r="N72" s="191">
        <v>1785.56</v>
      </c>
      <c r="O72" s="192">
        <v>0.09</v>
      </c>
      <c r="P72" s="216">
        <v>1731.02</v>
      </c>
      <c r="Q72" s="191">
        <v>57.14</v>
      </c>
      <c r="R72" s="191">
        <v>1788.16</v>
      </c>
      <c r="S72" s="192">
        <v>0.09</v>
      </c>
      <c r="T72" s="216">
        <v>1731.02</v>
      </c>
      <c r="U72" s="191">
        <v>59.74</v>
      </c>
      <c r="V72" s="191">
        <v>1790.76</v>
      </c>
      <c r="W72" s="192">
        <v>0.09</v>
      </c>
      <c r="X72" s="217">
        <v>1731.02</v>
      </c>
      <c r="Y72" s="193">
        <v>62.33</v>
      </c>
      <c r="Z72" s="193">
        <v>1793.35</v>
      </c>
      <c r="AA72" s="192">
        <v>0.09</v>
      </c>
      <c r="AB72" s="216">
        <v>1731.02</v>
      </c>
      <c r="AC72" s="191">
        <v>67.53</v>
      </c>
      <c r="AD72" s="191">
        <v>1798.55</v>
      </c>
      <c r="AE72" s="192">
        <v>0.09</v>
      </c>
      <c r="AF72" s="194">
        <v>1962.98996</v>
      </c>
      <c r="AG72" s="195">
        <f t="shared" si="2"/>
        <v>1799.41163</v>
      </c>
      <c r="AH72" s="194">
        <f t="shared" si="3"/>
        <v>1962.98996</v>
      </c>
      <c r="AI72" s="196"/>
      <c r="AJ72" s="196"/>
    </row>
    <row r="73" s="166" customFormat="1" ht="24" customHeight="1" spans="1:36">
      <c r="A73" s="186">
        <v>70</v>
      </c>
      <c r="B73" s="213" t="s">
        <v>577</v>
      </c>
      <c r="C73" s="212" t="s">
        <v>578</v>
      </c>
      <c r="D73" s="213" t="s">
        <v>541</v>
      </c>
      <c r="E73" s="212" t="s">
        <v>18</v>
      </c>
      <c r="F73" s="213" t="s">
        <v>579</v>
      </c>
      <c r="G73" s="213"/>
      <c r="H73" s="216">
        <v>4210.47</v>
      </c>
      <c r="I73" s="216">
        <v>126.32</v>
      </c>
      <c r="J73" s="191">
        <v>4336.79</v>
      </c>
      <c r="K73" s="192">
        <v>0.09</v>
      </c>
      <c r="L73" s="216">
        <v>4210.47</v>
      </c>
      <c r="M73" s="191">
        <v>132.64</v>
      </c>
      <c r="N73" s="191">
        <v>4343.11</v>
      </c>
      <c r="O73" s="192">
        <v>0.09</v>
      </c>
      <c r="P73" s="216">
        <v>4210.47</v>
      </c>
      <c r="Q73" s="191">
        <v>138.96</v>
      </c>
      <c r="R73" s="191">
        <v>4349.43</v>
      </c>
      <c r="S73" s="192">
        <v>0.09</v>
      </c>
      <c r="T73" s="216">
        <v>4210.47</v>
      </c>
      <c r="U73" s="191">
        <v>145.27</v>
      </c>
      <c r="V73" s="191">
        <v>4355.74</v>
      </c>
      <c r="W73" s="192">
        <v>0.09</v>
      </c>
      <c r="X73" s="217">
        <v>4210.47</v>
      </c>
      <c r="Y73" s="193">
        <v>151.59</v>
      </c>
      <c r="Z73" s="193">
        <v>4362.06</v>
      </c>
      <c r="AA73" s="192">
        <v>0.09</v>
      </c>
      <c r="AB73" s="216">
        <v>4210.47</v>
      </c>
      <c r="AC73" s="191">
        <v>164.22</v>
      </c>
      <c r="AD73" s="191">
        <v>4374.69</v>
      </c>
      <c r="AE73" s="192">
        <v>0.09</v>
      </c>
      <c r="AF73" s="194">
        <v>4774.68606</v>
      </c>
      <c r="AG73" s="195">
        <f t="shared" si="2"/>
        <v>4376.798055</v>
      </c>
      <c r="AH73" s="194">
        <f t="shared" si="3"/>
        <v>4774.68606</v>
      </c>
      <c r="AI73" s="196"/>
      <c r="AJ73" s="196"/>
    </row>
    <row r="74" s="166" customFormat="1" ht="24" customHeight="1" spans="1:36">
      <c r="A74" s="186">
        <v>71</v>
      </c>
      <c r="B74" s="188" t="s">
        <v>580</v>
      </c>
      <c r="C74" s="188" t="s">
        <v>581</v>
      </c>
      <c r="D74" s="188" t="s">
        <v>541</v>
      </c>
      <c r="E74" s="212" t="s">
        <v>357</v>
      </c>
      <c r="F74" s="213" t="s">
        <v>582</v>
      </c>
      <c r="G74" s="213"/>
      <c r="H74" s="216">
        <v>5007.9</v>
      </c>
      <c r="I74" s="216">
        <v>150.24</v>
      </c>
      <c r="J74" s="191">
        <v>5158.14</v>
      </c>
      <c r="K74" s="192">
        <v>0.09</v>
      </c>
      <c r="L74" s="216">
        <v>5007.9</v>
      </c>
      <c r="M74" s="191">
        <v>157.76</v>
      </c>
      <c r="N74" s="191">
        <v>5165.66</v>
      </c>
      <c r="O74" s="192">
        <v>0.09</v>
      </c>
      <c r="P74" s="216">
        <v>5007.9</v>
      </c>
      <c r="Q74" s="191">
        <v>165.27</v>
      </c>
      <c r="R74" s="191">
        <v>5173.17</v>
      </c>
      <c r="S74" s="192">
        <v>0.09</v>
      </c>
      <c r="T74" s="216">
        <v>5007.9</v>
      </c>
      <c r="U74" s="191">
        <v>172.78</v>
      </c>
      <c r="V74" s="191">
        <v>5180.68</v>
      </c>
      <c r="W74" s="192">
        <v>0.09</v>
      </c>
      <c r="X74" s="217">
        <v>5007.9</v>
      </c>
      <c r="Y74" s="193">
        <v>180.29</v>
      </c>
      <c r="Z74" s="193">
        <v>5188.19</v>
      </c>
      <c r="AA74" s="192">
        <v>0.09</v>
      </c>
      <c r="AB74" s="216">
        <v>5007.9</v>
      </c>
      <c r="AC74" s="191">
        <v>195.32</v>
      </c>
      <c r="AD74" s="191">
        <v>5203.22</v>
      </c>
      <c r="AE74" s="192">
        <v>0.09</v>
      </c>
      <c r="AF74" s="194">
        <v>5678.9642</v>
      </c>
      <c r="AG74" s="195">
        <f t="shared" si="2"/>
        <v>5205.72135</v>
      </c>
      <c r="AH74" s="194">
        <f t="shared" si="3"/>
        <v>5678.9642</v>
      </c>
      <c r="AI74" s="196"/>
      <c r="AJ74" s="196"/>
    </row>
    <row r="75" s="166" customFormat="1" ht="24" customHeight="1" spans="1:36">
      <c r="A75" s="186">
        <v>72</v>
      </c>
      <c r="B75" s="188" t="s">
        <v>583</v>
      </c>
      <c r="C75" s="218" t="s">
        <v>584</v>
      </c>
      <c r="D75" s="197"/>
      <c r="E75" s="189" t="s">
        <v>390</v>
      </c>
      <c r="F75" s="219" t="s">
        <v>585</v>
      </c>
      <c r="G75" s="220"/>
      <c r="H75" s="221">
        <v>857.67</v>
      </c>
      <c r="I75" s="221">
        <v>25.74</v>
      </c>
      <c r="J75" s="191">
        <v>883.41</v>
      </c>
      <c r="K75" s="192">
        <v>0.09</v>
      </c>
      <c r="L75" s="221">
        <v>857.67</v>
      </c>
      <c r="M75" s="191">
        <v>27.03</v>
      </c>
      <c r="N75" s="191">
        <v>884.7</v>
      </c>
      <c r="O75" s="192">
        <v>0.09</v>
      </c>
      <c r="P75" s="221">
        <v>857.67</v>
      </c>
      <c r="Q75" s="191">
        <v>28.32</v>
      </c>
      <c r="R75" s="191">
        <v>885.99</v>
      </c>
      <c r="S75" s="192">
        <v>0.09</v>
      </c>
      <c r="T75" s="221">
        <v>857.67</v>
      </c>
      <c r="U75" s="191">
        <v>29.61</v>
      </c>
      <c r="V75" s="191">
        <v>887.28</v>
      </c>
      <c r="W75" s="192">
        <v>0.09</v>
      </c>
      <c r="X75" s="222">
        <v>857.67</v>
      </c>
      <c r="Y75" s="193">
        <v>30.89</v>
      </c>
      <c r="Z75" s="193">
        <v>888.56</v>
      </c>
      <c r="AA75" s="192">
        <v>0.09</v>
      </c>
      <c r="AB75" s="221">
        <v>857.67</v>
      </c>
      <c r="AC75" s="191">
        <v>33.47</v>
      </c>
      <c r="AD75" s="191">
        <v>891.14</v>
      </c>
      <c r="AE75" s="192">
        <v>0.09</v>
      </c>
      <c r="AF75" s="194">
        <v>972.61166</v>
      </c>
      <c r="AG75" s="195">
        <f t="shared" si="2"/>
        <v>891.564855</v>
      </c>
      <c r="AH75" s="194">
        <f t="shared" si="3"/>
        <v>972.61166</v>
      </c>
      <c r="AI75" s="196"/>
      <c r="AJ75" s="196"/>
    </row>
    <row r="76" s="166" customFormat="1" ht="24" customHeight="1" spans="1:36">
      <c r="A76" s="186">
        <v>73</v>
      </c>
      <c r="B76" s="188" t="s">
        <v>380</v>
      </c>
      <c r="C76" s="218" t="s">
        <v>586</v>
      </c>
      <c r="D76" s="197"/>
      <c r="E76" s="189" t="s">
        <v>357</v>
      </c>
      <c r="F76" s="219" t="s">
        <v>587</v>
      </c>
      <c r="G76" s="220"/>
      <c r="H76" s="221">
        <v>2795</v>
      </c>
      <c r="I76" s="221">
        <v>83.85</v>
      </c>
      <c r="J76" s="191">
        <v>2878.85</v>
      </c>
      <c r="K76" s="192">
        <v>0.09</v>
      </c>
      <c r="L76" s="221">
        <v>2795</v>
      </c>
      <c r="M76" s="191">
        <v>88.05</v>
      </c>
      <c r="N76" s="191">
        <v>2883.05</v>
      </c>
      <c r="O76" s="192">
        <v>0.09</v>
      </c>
      <c r="P76" s="221">
        <v>2795</v>
      </c>
      <c r="Q76" s="191">
        <v>92.24</v>
      </c>
      <c r="R76" s="191">
        <v>2887.24</v>
      </c>
      <c r="S76" s="192">
        <v>0.09</v>
      </c>
      <c r="T76" s="221">
        <v>2795</v>
      </c>
      <c r="U76" s="191">
        <v>96.43</v>
      </c>
      <c r="V76" s="191">
        <v>2891.43</v>
      </c>
      <c r="W76" s="192">
        <v>0.09</v>
      </c>
      <c r="X76" s="222">
        <v>2795</v>
      </c>
      <c r="Y76" s="193">
        <v>100.62</v>
      </c>
      <c r="Z76" s="193">
        <v>2895.62</v>
      </c>
      <c r="AA76" s="192">
        <v>0.09</v>
      </c>
      <c r="AB76" s="221">
        <v>2795</v>
      </c>
      <c r="AC76" s="191">
        <v>109.01</v>
      </c>
      <c r="AD76" s="191">
        <v>2904.01</v>
      </c>
      <c r="AE76" s="192">
        <v>0.09</v>
      </c>
      <c r="AF76" s="194">
        <v>3169.53</v>
      </c>
      <c r="AG76" s="195">
        <f t="shared" si="2"/>
        <v>2905.4075</v>
      </c>
      <c r="AH76" s="194">
        <f t="shared" si="3"/>
        <v>3169.53</v>
      </c>
      <c r="AI76" s="196"/>
      <c r="AJ76" s="196"/>
    </row>
    <row r="77" s="166" customFormat="1" ht="24" customHeight="1" spans="1:36">
      <c r="A77" s="186">
        <v>74</v>
      </c>
      <c r="B77" s="188" t="s">
        <v>588</v>
      </c>
      <c r="C77" s="218" t="s">
        <v>589</v>
      </c>
      <c r="D77" s="200"/>
      <c r="E77" s="212" t="s">
        <v>378</v>
      </c>
      <c r="F77" s="219" t="s">
        <v>590</v>
      </c>
      <c r="G77" s="220"/>
      <c r="H77" s="221">
        <v>14563</v>
      </c>
      <c r="I77" s="221">
        <v>437</v>
      </c>
      <c r="J77" s="191">
        <v>15000</v>
      </c>
      <c r="K77" s="192">
        <v>0.09</v>
      </c>
      <c r="L77" s="221">
        <v>14563</v>
      </c>
      <c r="M77" s="191">
        <v>458.85</v>
      </c>
      <c r="N77" s="191">
        <v>15021.85</v>
      </c>
      <c r="O77" s="192">
        <v>0.09</v>
      </c>
      <c r="P77" s="221">
        <v>14563</v>
      </c>
      <c r="Q77" s="191">
        <v>480.7</v>
      </c>
      <c r="R77" s="191">
        <v>15043.7</v>
      </c>
      <c r="S77" s="192">
        <v>0.09</v>
      </c>
      <c r="T77" s="221">
        <v>14563</v>
      </c>
      <c r="U77" s="191">
        <v>502.55</v>
      </c>
      <c r="V77" s="191">
        <v>15065.55</v>
      </c>
      <c r="W77" s="192">
        <v>0.09</v>
      </c>
      <c r="X77" s="222">
        <v>14563</v>
      </c>
      <c r="Y77" s="193">
        <v>524.4</v>
      </c>
      <c r="Z77" s="193">
        <v>15087.4</v>
      </c>
      <c r="AA77" s="192">
        <v>0.09</v>
      </c>
      <c r="AB77" s="221">
        <v>14563</v>
      </c>
      <c r="AC77" s="191">
        <v>568.1</v>
      </c>
      <c r="AD77" s="191">
        <v>15131.1</v>
      </c>
      <c r="AE77" s="192">
        <v>0.09</v>
      </c>
      <c r="AF77" s="194">
        <v>16514.574</v>
      </c>
      <c r="AG77" s="195">
        <f t="shared" si="2"/>
        <v>15138.3595</v>
      </c>
      <c r="AH77" s="194">
        <f t="shared" si="3"/>
        <v>16514.574</v>
      </c>
      <c r="AI77" s="196"/>
      <c r="AJ77" s="196"/>
    </row>
    <row r="78" s="166" customFormat="1" ht="24" customHeight="1" spans="1:36">
      <c r="A78" s="186">
        <v>75</v>
      </c>
      <c r="B78" s="213" t="s">
        <v>591</v>
      </c>
      <c r="C78" s="212" t="s">
        <v>592</v>
      </c>
      <c r="D78" s="200"/>
      <c r="E78" s="212" t="s">
        <v>73</v>
      </c>
      <c r="F78" s="211" t="s">
        <v>593</v>
      </c>
      <c r="G78" s="220" t="s">
        <v>594</v>
      </c>
      <c r="H78" s="221">
        <v>728</v>
      </c>
      <c r="I78" s="221">
        <v>22</v>
      </c>
      <c r="J78" s="191">
        <v>750</v>
      </c>
      <c r="K78" s="192">
        <v>0.09</v>
      </c>
      <c r="L78" s="221">
        <v>728</v>
      </c>
      <c r="M78" s="191">
        <v>23.1</v>
      </c>
      <c r="N78" s="191">
        <v>751.1</v>
      </c>
      <c r="O78" s="192">
        <v>0.09</v>
      </c>
      <c r="P78" s="221">
        <v>728</v>
      </c>
      <c r="Q78" s="191">
        <v>24.2</v>
      </c>
      <c r="R78" s="191">
        <v>752.2</v>
      </c>
      <c r="S78" s="192">
        <v>0.09</v>
      </c>
      <c r="T78" s="221">
        <v>728</v>
      </c>
      <c r="U78" s="191">
        <v>25.3</v>
      </c>
      <c r="V78" s="191">
        <v>753.3</v>
      </c>
      <c r="W78" s="192">
        <v>0.09</v>
      </c>
      <c r="X78" s="222">
        <v>728</v>
      </c>
      <c r="Y78" s="193">
        <v>26.4</v>
      </c>
      <c r="Z78" s="193">
        <v>754.4</v>
      </c>
      <c r="AA78" s="192">
        <v>0.09</v>
      </c>
      <c r="AB78" s="221">
        <v>728</v>
      </c>
      <c r="AC78" s="191">
        <v>28.6</v>
      </c>
      <c r="AD78" s="191">
        <v>756.6</v>
      </c>
      <c r="AE78" s="192">
        <v>0.09</v>
      </c>
      <c r="AF78" s="194">
        <v>825.744</v>
      </c>
      <c r="AG78" s="195">
        <f t="shared" si="2"/>
        <v>756.932</v>
      </c>
      <c r="AH78" s="194">
        <f t="shared" si="3"/>
        <v>825.744</v>
      </c>
      <c r="AI78" s="196"/>
      <c r="AJ78" s="196"/>
    </row>
    <row r="79" s="166" customFormat="1" ht="24" customHeight="1" spans="1:36">
      <c r="A79" s="186">
        <v>76</v>
      </c>
      <c r="B79" s="213" t="s">
        <v>595</v>
      </c>
      <c r="C79" s="212" t="s">
        <v>596</v>
      </c>
      <c r="D79" s="200"/>
      <c r="E79" s="212" t="s">
        <v>73</v>
      </c>
      <c r="F79" s="211" t="s">
        <v>597</v>
      </c>
      <c r="G79" s="220" t="s">
        <v>594</v>
      </c>
      <c r="H79" s="221">
        <v>364</v>
      </c>
      <c r="I79" s="221">
        <v>11</v>
      </c>
      <c r="J79" s="191">
        <v>375</v>
      </c>
      <c r="K79" s="192">
        <v>0.09</v>
      </c>
      <c r="L79" s="221">
        <v>364</v>
      </c>
      <c r="M79" s="191">
        <v>11.55</v>
      </c>
      <c r="N79" s="191">
        <v>375.55</v>
      </c>
      <c r="O79" s="192">
        <v>0.09</v>
      </c>
      <c r="P79" s="221">
        <v>364</v>
      </c>
      <c r="Q79" s="191">
        <v>12.1</v>
      </c>
      <c r="R79" s="191">
        <v>376.1</v>
      </c>
      <c r="S79" s="192">
        <v>0.09</v>
      </c>
      <c r="T79" s="221">
        <v>364</v>
      </c>
      <c r="U79" s="191">
        <v>12.65</v>
      </c>
      <c r="V79" s="191">
        <v>376.65</v>
      </c>
      <c r="W79" s="192">
        <v>0.09</v>
      </c>
      <c r="X79" s="222">
        <v>364</v>
      </c>
      <c r="Y79" s="193">
        <v>13.2</v>
      </c>
      <c r="Z79" s="193">
        <v>377.2</v>
      </c>
      <c r="AA79" s="192">
        <v>0.09</v>
      </c>
      <c r="AB79" s="221">
        <v>364</v>
      </c>
      <c r="AC79" s="191">
        <v>14.3</v>
      </c>
      <c r="AD79" s="191">
        <v>378.3</v>
      </c>
      <c r="AE79" s="192">
        <v>0.09</v>
      </c>
      <c r="AF79" s="194">
        <v>412.872</v>
      </c>
      <c r="AG79" s="195">
        <f t="shared" si="2"/>
        <v>378.466</v>
      </c>
      <c r="AH79" s="194">
        <f t="shared" si="3"/>
        <v>412.872</v>
      </c>
      <c r="AI79" s="196"/>
      <c r="AJ79" s="196"/>
    </row>
    <row r="80" s="166" customFormat="1" ht="24" customHeight="1" spans="1:36">
      <c r="A80" s="186">
        <v>77</v>
      </c>
      <c r="B80" s="213" t="s">
        <v>598</v>
      </c>
      <c r="C80" s="212" t="s">
        <v>599</v>
      </c>
      <c r="D80" s="200"/>
      <c r="E80" s="212" t="s">
        <v>73</v>
      </c>
      <c r="F80" s="211" t="s">
        <v>600</v>
      </c>
      <c r="G80" s="220" t="s">
        <v>594</v>
      </c>
      <c r="H80" s="221">
        <v>728</v>
      </c>
      <c r="I80" s="221">
        <v>22</v>
      </c>
      <c r="J80" s="191">
        <v>750</v>
      </c>
      <c r="K80" s="192">
        <v>0.09</v>
      </c>
      <c r="L80" s="221">
        <v>728</v>
      </c>
      <c r="M80" s="191">
        <v>23.1</v>
      </c>
      <c r="N80" s="191">
        <v>751.1</v>
      </c>
      <c r="O80" s="192">
        <v>0.09</v>
      </c>
      <c r="P80" s="221">
        <v>728</v>
      </c>
      <c r="Q80" s="191">
        <v>24.2</v>
      </c>
      <c r="R80" s="191">
        <v>752.2</v>
      </c>
      <c r="S80" s="192">
        <v>0.09</v>
      </c>
      <c r="T80" s="221">
        <v>728</v>
      </c>
      <c r="U80" s="191">
        <v>25.3</v>
      </c>
      <c r="V80" s="191">
        <v>753.3</v>
      </c>
      <c r="W80" s="192">
        <v>0.09</v>
      </c>
      <c r="X80" s="222">
        <v>728</v>
      </c>
      <c r="Y80" s="193">
        <v>26.4</v>
      </c>
      <c r="Z80" s="193">
        <v>754.4</v>
      </c>
      <c r="AA80" s="192">
        <v>0.09</v>
      </c>
      <c r="AB80" s="221">
        <v>728</v>
      </c>
      <c r="AC80" s="191">
        <v>28.6</v>
      </c>
      <c r="AD80" s="191">
        <v>756.6</v>
      </c>
      <c r="AE80" s="192">
        <v>0.09</v>
      </c>
      <c r="AF80" s="194">
        <v>825.744</v>
      </c>
      <c r="AG80" s="195">
        <f t="shared" ref="AG80:AG101" si="4">(P80*0.915*1.1)+Q80</f>
        <v>756.932</v>
      </c>
      <c r="AH80" s="194">
        <f t="shared" ref="AH80:AH101" si="5">(X80*0.915*1.2)+Y80</f>
        <v>825.744</v>
      </c>
      <c r="AI80" s="196"/>
      <c r="AJ80" s="196"/>
    </row>
    <row r="81" s="166" customFormat="1" ht="24" customHeight="1" spans="1:36">
      <c r="A81" s="186">
        <v>78</v>
      </c>
      <c r="B81" s="213" t="s">
        <v>601</v>
      </c>
      <c r="C81" s="212" t="s">
        <v>602</v>
      </c>
      <c r="D81" s="200"/>
      <c r="E81" s="212" t="s">
        <v>73</v>
      </c>
      <c r="F81" s="211" t="s">
        <v>603</v>
      </c>
      <c r="G81" s="220" t="s">
        <v>594</v>
      </c>
      <c r="H81" s="221">
        <v>364</v>
      </c>
      <c r="I81" s="221">
        <v>11</v>
      </c>
      <c r="J81" s="191">
        <v>375</v>
      </c>
      <c r="K81" s="192">
        <v>0.09</v>
      </c>
      <c r="L81" s="221">
        <v>364</v>
      </c>
      <c r="M81" s="191">
        <v>11.55</v>
      </c>
      <c r="N81" s="191">
        <v>375.55</v>
      </c>
      <c r="O81" s="192">
        <v>0.09</v>
      </c>
      <c r="P81" s="221">
        <v>364</v>
      </c>
      <c r="Q81" s="191">
        <v>12.1</v>
      </c>
      <c r="R81" s="191">
        <v>376.1</v>
      </c>
      <c r="S81" s="192">
        <v>0.09</v>
      </c>
      <c r="T81" s="221">
        <v>364</v>
      </c>
      <c r="U81" s="191">
        <v>12.65</v>
      </c>
      <c r="V81" s="191">
        <v>376.65</v>
      </c>
      <c r="W81" s="192">
        <v>0.09</v>
      </c>
      <c r="X81" s="222">
        <v>364</v>
      </c>
      <c r="Y81" s="193">
        <v>13.2</v>
      </c>
      <c r="Z81" s="193">
        <v>377.2</v>
      </c>
      <c r="AA81" s="192">
        <v>0.09</v>
      </c>
      <c r="AB81" s="221">
        <v>364</v>
      </c>
      <c r="AC81" s="191">
        <v>14.3</v>
      </c>
      <c r="AD81" s="191">
        <v>378.3</v>
      </c>
      <c r="AE81" s="192">
        <v>0.09</v>
      </c>
      <c r="AF81" s="194">
        <v>412.872</v>
      </c>
      <c r="AG81" s="195">
        <f t="shared" si="4"/>
        <v>378.466</v>
      </c>
      <c r="AH81" s="194">
        <f t="shared" si="5"/>
        <v>412.872</v>
      </c>
      <c r="AI81" s="196"/>
      <c r="AJ81" s="196"/>
    </row>
    <row r="82" s="166" customFormat="1" ht="24" customHeight="1" spans="1:36">
      <c r="A82" s="186">
        <v>79</v>
      </c>
      <c r="B82" s="213" t="s">
        <v>604</v>
      </c>
      <c r="C82" s="212" t="s">
        <v>605</v>
      </c>
      <c r="D82" s="200"/>
      <c r="E82" s="212" t="s">
        <v>73</v>
      </c>
      <c r="F82" s="211" t="s">
        <v>606</v>
      </c>
      <c r="G82" s="220" t="s">
        <v>594</v>
      </c>
      <c r="H82" s="221">
        <v>1165</v>
      </c>
      <c r="I82" s="221">
        <v>35</v>
      </c>
      <c r="J82" s="191">
        <v>1200</v>
      </c>
      <c r="K82" s="192">
        <v>0.09</v>
      </c>
      <c r="L82" s="221">
        <v>1165</v>
      </c>
      <c r="M82" s="191">
        <v>36.75</v>
      </c>
      <c r="N82" s="191">
        <v>1201.75</v>
      </c>
      <c r="O82" s="192">
        <v>0.09</v>
      </c>
      <c r="P82" s="221">
        <v>1165</v>
      </c>
      <c r="Q82" s="191">
        <v>38.5</v>
      </c>
      <c r="R82" s="191">
        <v>1203.5</v>
      </c>
      <c r="S82" s="192">
        <v>0.09</v>
      </c>
      <c r="T82" s="221">
        <v>1165</v>
      </c>
      <c r="U82" s="191">
        <v>40.25</v>
      </c>
      <c r="V82" s="191">
        <v>1205.25</v>
      </c>
      <c r="W82" s="192">
        <v>0.09</v>
      </c>
      <c r="X82" s="222">
        <v>1165</v>
      </c>
      <c r="Y82" s="193">
        <v>42</v>
      </c>
      <c r="Z82" s="193">
        <v>1207</v>
      </c>
      <c r="AA82" s="192">
        <v>0.09</v>
      </c>
      <c r="AB82" s="221">
        <v>1165</v>
      </c>
      <c r="AC82" s="191">
        <v>45.5</v>
      </c>
      <c r="AD82" s="191">
        <v>1210.5</v>
      </c>
      <c r="AE82" s="192">
        <v>0.09</v>
      </c>
      <c r="AF82" s="194">
        <v>1321.17</v>
      </c>
      <c r="AG82" s="195">
        <f t="shared" si="4"/>
        <v>1211.0725</v>
      </c>
      <c r="AH82" s="194">
        <f t="shared" si="5"/>
        <v>1321.17</v>
      </c>
      <c r="AI82" s="196"/>
      <c r="AJ82" s="196"/>
    </row>
    <row r="83" s="166" customFormat="1" ht="24" customHeight="1" spans="1:36">
      <c r="A83" s="186">
        <v>80</v>
      </c>
      <c r="B83" s="213" t="s">
        <v>607</v>
      </c>
      <c r="C83" s="212" t="s">
        <v>608</v>
      </c>
      <c r="D83" s="200"/>
      <c r="E83" s="212" t="s">
        <v>73</v>
      </c>
      <c r="F83" s="211" t="s">
        <v>609</v>
      </c>
      <c r="G83" s="220" t="s">
        <v>594</v>
      </c>
      <c r="H83" s="221">
        <v>582.5</v>
      </c>
      <c r="I83" s="221">
        <v>17.5</v>
      </c>
      <c r="J83" s="191">
        <v>600</v>
      </c>
      <c r="K83" s="192">
        <v>0.09</v>
      </c>
      <c r="L83" s="221">
        <v>582.5</v>
      </c>
      <c r="M83" s="191">
        <v>18.38</v>
      </c>
      <c r="N83" s="191">
        <v>600.88</v>
      </c>
      <c r="O83" s="192">
        <v>0.09</v>
      </c>
      <c r="P83" s="221">
        <v>582.5</v>
      </c>
      <c r="Q83" s="191">
        <v>19.25</v>
      </c>
      <c r="R83" s="191">
        <v>601.75</v>
      </c>
      <c r="S83" s="192">
        <v>0.09</v>
      </c>
      <c r="T83" s="221">
        <v>582.5</v>
      </c>
      <c r="U83" s="191">
        <v>20.13</v>
      </c>
      <c r="V83" s="191">
        <v>602.63</v>
      </c>
      <c r="W83" s="192">
        <v>0.09</v>
      </c>
      <c r="X83" s="222">
        <v>582.5</v>
      </c>
      <c r="Y83" s="193">
        <v>21</v>
      </c>
      <c r="Z83" s="193">
        <v>603.5</v>
      </c>
      <c r="AA83" s="192">
        <v>0.09</v>
      </c>
      <c r="AB83" s="221">
        <v>582.5</v>
      </c>
      <c r="AC83" s="191">
        <v>22.75</v>
      </c>
      <c r="AD83" s="191">
        <v>605.25</v>
      </c>
      <c r="AE83" s="192">
        <v>0.09</v>
      </c>
      <c r="AF83" s="194">
        <v>660.585</v>
      </c>
      <c r="AG83" s="195">
        <f t="shared" si="4"/>
        <v>605.53625</v>
      </c>
      <c r="AH83" s="194">
        <f t="shared" si="5"/>
        <v>660.585</v>
      </c>
      <c r="AI83" s="196"/>
      <c r="AJ83" s="196"/>
    </row>
    <row r="84" s="166" customFormat="1" ht="24" customHeight="1" spans="1:36">
      <c r="A84" s="186">
        <v>81</v>
      </c>
      <c r="B84" s="213" t="s">
        <v>610</v>
      </c>
      <c r="C84" s="212" t="s">
        <v>611</v>
      </c>
      <c r="D84" s="200"/>
      <c r="E84" s="212" t="s">
        <v>73</v>
      </c>
      <c r="F84" s="211" t="s">
        <v>612</v>
      </c>
      <c r="G84" s="220" t="s">
        <v>594</v>
      </c>
      <c r="H84" s="221">
        <v>2912</v>
      </c>
      <c r="I84" s="221">
        <v>88</v>
      </c>
      <c r="J84" s="191">
        <v>3000</v>
      </c>
      <c r="K84" s="192">
        <v>0.09</v>
      </c>
      <c r="L84" s="221">
        <v>2912</v>
      </c>
      <c r="M84" s="191">
        <v>92.4</v>
      </c>
      <c r="N84" s="191">
        <v>3004.4</v>
      </c>
      <c r="O84" s="192">
        <v>0.09</v>
      </c>
      <c r="P84" s="221">
        <v>2912</v>
      </c>
      <c r="Q84" s="191">
        <v>96.8</v>
      </c>
      <c r="R84" s="191">
        <v>3008.8</v>
      </c>
      <c r="S84" s="192">
        <v>0.09</v>
      </c>
      <c r="T84" s="221">
        <v>2912</v>
      </c>
      <c r="U84" s="191">
        <v>101.2</v>
      </c>
      <c r="V84" s="191">
        <v>3013.2</v>
      </c>
      <c r="W84" s="192">
        <v>0.09</v>
      </c>
      <c r="X84" s="222">
        <v>2912</v>
      </c>
      <c r="Y84" s="193">
        <v>105.6</v>
      </c>
      <c r="Z84" s="193">
        <v>3017.6</v>
      </c>
      <c r="AA84" s="192">
        <v>0.09</v>
      </c>
      <c r="AB84" s="221">
        <v>2912</v>
      </c>
      <c r="AC84" s="191">
        <v>114.4</v>
      </c>
      <c r="AD84" s="191">
        <v>3026.4</v>
      </c>
      <c r="AE84" s="192">
        <v>0.09</v>
      </c>
      <c r="AF84" s="194">
        <v>3302.976</v>
      </c>
      <c r="AG84" s="195">
        <f t="shared" si="4"/>
        <v>3027.728</v>
      </c>
      <c r="AH84" s="194">
        <f t="shared" si="5"/>
        <v>3302.976</v>
      </c>
      <c r="AI84" s="196"/>
      <c r="AJ84" s="196"/>
    </row>
    <row r="85" s="166" customFormat="1" ht="24" customHeight="1" spans="1:36">
      <c r="A85" s="186">
        <v>82</v>
      </c>
      <c r="B85" s="213" t="s">
        <v>613</v>
      </c>
      <c r="C85" s="212" t="s">
        <v>614</v>
      </c>
      <c r="D85" s="200"/>
      <c r="E85" s="212" t="s">
        <v>73</v>
      </c>
      <c r="F85" s="211" t="s">
        <v>615</v>
      </c>
      <c r="G85" s="220" t="s">
        <v>594</v>
      </c>
      <c r="H85" s="221">
        <v>3398</v>
      </c>
      <c r="I85" s="221">
        <v>102</v>
      </c>
      <c r="J85" s="191">
        <v>3500</v>
      </c>
      <c r="K85" s="192">
        <v>0.09</v>
      </c>
      <c r="L85" s="221">
        <v>3398</v>
      </c>
      <c r="M85" s="191">
        <v>107.1</v>
      </c>
      <c r="N85" s="191">
        <v>3505.1</v>
      </c>
      <c r="O85" s="192">
        <v>0.09</v>
      </c>
      <c r="P85" s="221">
        <v>3398</v>
      </c>
      <c r="Q85" s="191">
        <v>112.2</v>
      </c>
      <c r="R85" s="191">
        <v>3510.2</v>
      </c>
      <c r="S85" s="192">
        <v>0.09</v>
      </c>
      <c r="T85" s="221">
        <v>3398</v>
      </c>
      <c r="U85" s="191">
        <v>117.3</v>
      </c>
      <c r="V85" s="191">
        <v>3515.3</v>
      </c>
      <c r="W85" s="192">
        <v>0.09</v>
      </c>
      <c r="X85" s="222">
        <v>3398</v>
      </c>
      <c r="Y85" s="193">
        <v>122.4</v>
      </c>
      <c r="Z85" s="193">
        <v>3520.4</v>
      </c>
      <c r="AA85" s="192">
        <v>0.09</v>
      </c>
      <c r="AB85" s="221">
        <v>3398</v>
      </c>
      <c r="AC85" s="191">
        <v>132.6</v>
      </c>
      <c r="AD85" s="191">
        <v>3530.6</v>
      </c>
      <c r="AE85" s="192">
        <v>0.09</v>
      </c>
      <c r="AF85" s="194">
        <v>3853.404</v>
      </c>
      <c r="AG85" s="195">
        <f t="shared" si="4"/>
        <v>3532.287</v>
      </c>
      <c r="AH85" s="194">
        <f t="shared" si="5"/>
        <v>3853.404</v>
      </c>
      <c r="AI85" s="196"/>
      <c r="AJ85" s="196"/>
    </row>
    <row r="86" s="166" customFormat="1" ht="24" customHeight="1" spans="1:36">
      <c r="A86" s="186">
        <v>83</v>
      </c>
      <c r="B86" s="213" t="s">
        <v>616</v>
      </c>
      <c r="C86" s="212" t="s">
        <v>617</v>
      </c>
      <c r="D86" s="200"/>
      <c r="E86" s="212" t="s">
        <v>73</v>
      </c>
      <c r="F86" s="223" t="s">
        <v>618</v>
      </c>
      <c r="G86" s="220" t="s">
        <v>594</v>
      </c>
      <c r="H86" s="224">
        <v>1165</v>
      </c>
      <c r="I86" s="224">
        <v>35</v>
      </c>
      <c r="J86" s="191">
        <v>1200</v>
      </c>
      <c r="K86" s="192">
        <v>0.09</v>
      </c>
      <c r="L86" s="224">
        <v>1165</v>
      </c>
      <c r="M86" s="191">
        <v>36.75</v>
      </c>
      <c r="N86" s="191">
        <v>1201.75</v>
      </c>
      <c r="O86" s="192">
        <v>0.09</v>
      </c>
      <c r="P86" s="224">
        <v>1165</v>
      </c>
      <c r="Q86" s="191">
        <v>38.5</v>
      </c>
      <c r="R86" s="191">
        <v>1203.5</v>
      </c>
      <c r="S86" s="192">
        <v>0.09</v>
      </c>
      <c r="T86" s="224">
        <v>1165</v>
      </c>
      <c r="U86" s="191">
        <v>40.25</v>
      </c>
      <c r="V86" s="191">
        <v>1205.25</v>
      </c>
      <c r="W86" s="192">
        <v>0.09</v>
      </c>
      <c r="X86" s="225">
        <v>1165</v>
      </c>
      <c r="Y86" s="193">
        <v>42</v>
      </c>
      <c r="Z86" s="193">
        <v>1207</v>
      </c>
      <c r="AA86" s="192">
        <v>0.09</v>
      </c>
      <c r="AB86" s="224">
        <v>1165</v>
      </c>
      <c r="AC86" s="191">
        <v>45.5</v>
      </c>
      <c r="AD86" s="191">
        <v>1210.5</v>
      </c>
      <c r="AE86" s="192">
        <v>0.09</v>
      </c>
      <c r="AF86" s="194">
        <v>1321.17</v>
      </c>
      <c r="AG86" s="195">
        <f t="shared" si="4"/>
        <v>1211.0725</v>
      </c>
      <c r="AH86" s="194">
        <f t="shared" si="5"/>
        <v>1321.17</v>
      </c>
      <c r="AI86" s="196"/>
      <c r="AJ86" s="196"/>
    </row>
    <row r="87" s="166" customFormat="1" ht="24" customHeight="1" spans="1:36">
      <c r="A87" s="186">
        <v>84</v>
      </c>
      <c r="B87" s="213" t="s">
        <v>619</v>
      </c>
      <c r="C87" s="212" t="s">
        <v>620</v>
      </c>
      <c r="D87" s="200"/>
      <c r="E87" s="212" t="s">
        <v>73</v>
      </c>
      <c r="F87" s="223" t="s">
        <v>621</v>
      </c>
      <c r="G87" s="220" t="s">
        <v>594</v>
      </c>
      <c r="H87" s="224">
        <v>582.5</v>
      </c>
      <c r="I87" s="224">
        <v>17.5</v>
      </c>
      <c r="J87" s="191">
        <v>600</v>
      </c>
      <c r="K87" s="192">
        <v>0.09</v>
      </c>
      <c r="L87" s="224">
        <v>582.5</v>
      </c>
      <c r="M87" s="191">
        <v>18.38</v>
      </c>
      <c r="N87" s="191">
        <v>600.88</v>
      </c>
      <c r="O87" s="192">
        <v>0.09</v>
      </c>
      <c r="P87" s="224">
        <v>582.5</v>
      </c>
      <c r="Q87" s="191">
        <v>19.25</v>
      </c>
      <c r="R87" s="191">
        <v>601.75</v>
      </c>
      <c r="S87" s="192">
        <v>0.09</v>
      </c>
      <c r="T87" s="224">
        <v>582.5</v>
      </c>
      <c r="U87" s="191">
        <v>20.13</v>
      </c>
      <c r="V87" s="191">
        <v>602.63</v>
      </c>
      <c r="W87" s="192">
        <v>0.09</v>
      </c>
      <c r="X87" s="225">
        <v>582.5</v>
      </c>
      <c r="Y87" s="193">
        <v>21</v>
      </c>
      <c r="Z87" s="193">
        <v>603.5</v>
      </c>
      <c r="AA87" s="192">
        <v>0.09</v>
      </c>
      <c r="AB87" s="224">
        <v>582.5</v>
      </c>
      <c r="AC87" s="191">
        <v>22.75</v>
      </c>
      <c r="AD87" s="191">
        <v>605.25</v>
      </c>
      <c r="AE87" s="192">
        <v>0.09</v>
      </c>
      <c r="AF87" s="194">
        <v>660.585</v>
      </c>
      <c r="AG87" s="195">
        <f t="shared" si="4"/>
        <v>605.53625</v>
      </c>
      <c r="AH87" s="194">
        <f t="shared" si="5"/>
        <v>660.585</v>
      </c>
      <c r="AI87" s="196"/>
      <c r="AJ87" s="196"/>
    </row>
    <row r="88" s="166" customFormat="1" ht="24" customHeight="1" spans="1:36">
      <c r="A88" s="186">
        <v>85</v>
      </c>
      <c r="B88" s="213" t="s">
        <v>622</v>
      </c>
      <c r="C88" s="212" t="s">
        <v>623</v>
      </c>
      <c r="D88" s="200"/>
      <c r="E88" s="212" t="s">
        <v>73</v>
      </c>
      <c r="F88" s="223" t="s">
        <v>624</v>
      </c>
      <c r="G88" s="220" t="s">
        <v>594</v>
      </c>
      <c r="H88" s="224">
        <v>4077</v>
      </c>
      <c r="I88" s="224">
        <v>123</v>
      </c>
      <c r="J88" s="191">
        <v>4200</v>
      </c>
      <c r="K88" s="192">
        <v>0.09</v>
      </c>
      <c r="L88" s="224">
        <v>4077</v>
      </c>
      <c r="M88" s="191">
        <v>129.15</v>
      </c>
      <c r="N88" s="191">
        <v>4206.15</v>
      </c>
      <c r="O88" s="192">
        <v>0.09</v>
      </c>
      <c r="P88" s="224">
        <v>4077</v>
      </c>
      <c r="Q88" s="191">
        <v>135.3</v>
      </c>
      <c r="R88" s="191">
        <v>4212.3</v>
      </c>
      <c r="S88" s="192">
        <v>0.09</v>
      </c>
      <c r="T88" s="224">
        <v>4077</v>
      </c>
      <c r="U88" s="191">
        <v>141.45</v>
      </c>
      <c r="V88" s="191">
        <v>4218.45</v>
      </c>
      <c r="W88" s="192">
        <v>0.09</v>
      </c>
      <c r="X88" s="225">
        <v>4077</v>
      </c>
      <c r="Y88" s="193">
        <v>147.6</v>
      </c>
      <c r="Z88" s="193">
        <v>4224.6</v>
      </c>
      <c r="AA88" s="192">
        <v>0.09</v>
      </c>
      <c r="AB88" s="224">
        <v>4077</v>
      </c>
      <c r="AC88" s="191">
        <v>159.9</v>
      </c>
      <c r="AD88" s="191">
        <v>4236.9</v>
      </c>
      <c r="AE88" s="192">
        <v>0.09</v>
      </c>
      <c r="AF88" s="194">
        <v>4624.146</v>
      </c>
      <c r="AG88" s="195">
        <f t="shared" si="4"/>
        <v>4238.8005</v>
      </c>
      <c r="AH88" s="194">
        <f t="shared" si="5"/>
        <v>4624.146</v>
      </c>
      <c r="AI88" s="196"/>
      <c r="AJ88" s="196"/>
    </row>
    <row r="89" s="166" customFormat="1" ht="24" customHeight="1" spans="1:36">
      <c r="A89" s="186">
        <v>86</v>
      </c>
      <c r="B89" s="212" t="s">
        <v>625</v>
      </c>
      <c r="C89" s="197" t="s">
        <v>626</v>
      </c>
      <c r="D89" s="200"/>
      <c r="E89" s="200" t="s">
        <v>390</v>
      </c>
      <c r="F89" s="223" t="s">
        <v>627</v>
      </c>
      <c r="G89" s="220"/>
      <c r="H89" s="197">
        <v>335.38</v>
      </c>
      <c r="I89" s="197">
        <v>10.07</v>
      </c>
      <c r="J89" s="191">
        <v>345.45</v>
      </c>
      <c r="K89" s="192">
        <v>0.09</v>
      </c>
      <c r="L89" s="197">
        <v>335.38</v>
      </c>
      <c r="M89" s="191">
        <v>10.58</v>
      </c>
      <c r="N89" s="191">
        <v>345.96</v>
      </c>
      <c r="O89" s="192">
        <v>0.09</v>
      </c>
      <c r="P89" s="197">
        <v>335.38</v>
      </c>
      <c r="Q89" s="191">
        <v>11.08</v>
      </c>
      <c r="R89" s="191">
        <v>346.46</v>
      </c>
      <c r="S89" s="192">
        <v>0.09</v>
      </c>
      <c r="T89" s="197">
        <v>335.38</v>
      </c>
      <c r="U89" s="191">
        <v>11.59</v>
      </c>
      <c r="V89" s="191">
        <v>346.97</v>
      </c>
      <c r="W89" s="192">
        <v>0.09</v>
      </c>
      <c r="X89" s="198">
        <v>335.38</v>
      </c>
      <c r="Y89" s="193">
        <v>12.09</v>
      </c>
      <c r="Z89" s="193">
        <v>347.47</v>
      </c>
      <c r="AA89" s="192">
        <v>0.09</v>
      </c>
      <c r="AB89" s="197">
        <v>335.38</v>
      </c>
      <c r="AC89" s="191">
        <v>13.1</v>
      </c>
      <c r="AD89" s="191">
        <v>348.48</v>
      </c>
      <c r="AE89" s="192">
        <v>0.09</v>
      </c>
      <c r="AF89" s="194">
        <v>380.33724</v>
      </c>
      <c r="AG89" s="195">
        <f t="shared" si="4"/>
        <v>348.63997</v>
      </c>
      <c r="AH89" s="194">
        <f t="shared" si="5"/>
        <v>380.33724</v>
      </c>
      <c r="AI89" s="196"/>
      <c r="AJ89" s="196"/>
    </row>
    <row r="90" s="166" customFormat="1" ht="24" customHeight="1" spans="1:36">
      <c r="A90" s="186">
        <v>87</v>
      </c>
      <c r="B90" s="212" t="s">
        <v>628</v>
      </c>
      <c r="C90" s="212" t="s">
        <v>629</v>
      </c>
      <c r="D90" s="220"/>
      <c r="E90" s="212" t="s">
        <v>73</v>
      </c>
      <c r="F90" s="190" t="s">
        <v>630</v>
      </c>
      <c r="G90" s="190"/>
      <c r="H90" s="191">
        <v>6786.9</v>
      </c>
      <c r="I90" s="226">
        <v>0</v>
      </c>
      <c r="J90" s="191">
        <v>6786.9</v>
      </c>
      <c r="K90" s="192">
        <v>0.13</v>
      </c>
      <c r="L90" s="191">
        <v>6786.9</v>
      </c>
      <c r="M90" s="191">
        <v>0</v>
      </c>
      <c r="N90" s="191">
        <v>6786.9</v>
      </c>
      <c r="O90" s="192">
        <v>0.13</v>
      </c>
      <c r="P90" s="191">
        <v>6786.9</v>
      </c>
      <c r="Q90" s="191">
        <v>0</v>
      </c>
      <c r="R90" s="191">
        <v>6786.9</v>
      </c>
      <c r="S90" s="192">
        <v>0.13</v>
      </c>
      <c r="T90" s="191">
        <v>6786.9</v>
      </c>
      <c r="U90" s="191">
        <v>0</v>
      </c>
      <c r="V90" s="191">
        <v>6786.9</v>
      </c>
      <c r="W90" s="192">
        <v>0.13</v>
      </c>
      <c r="X90" s="193">
        <v>6786.9</v>
      </c>
      <c r="Y90" s="193">
        <v>0</v>
      </c>
      <c r="Z90" s="193">
        <v>6786.9</v>
      </c>
      <c r="AA90" s="192">
        <v>0.13</v>
      </c>
      <c r="AB90" s="191">
        <v>6786.9</v>
      </c>
      <c r="AC90" s="191">
        <v>0</v>
      </c>
      <c r="AD90" s="191">
        <v>6786.9</v>
      </c>
      <c r="AE90" s="192">
        <v>0.13</v>
      </c>
      <c r="AF90" s="194">
        <v>7452.0162</v>
      </c>
      <c r="AG90" s="195">
        <f t="shared" si="4"/>
        <v>6831.01485</v>
      </c>
      <c r="AH90" s="194">
        <f t="shared" si="5"/>
        <v>7452.0162</v>
      </c>
      <c r="AI90" s="196"/>
      <c r="AJ90" s="196"/>
    </row>
    <row r="91" s="166" customFormat="1" ht="24" customHeight="1" spans="1:36">
      <c r="A91" s="186">
        <v>88</v>
      </c>
      <c r="B91" s="212" t="s">
        <v>631</v>
      </c>
      <c r="C91" s="212" t="s">
        <v>632</v>
      </c>
      <c r="D91" s="220"/>
      <c r="E91" s="212" t="s">
        <v>73</v>
      </c>
      <c r="F91" s="190" t="s">
        <v>633</v>
      </c>
      <c r="G91" s="190"/>
      <c r="H91" s="191">
        <v>8214.63</v>
      </c>
      <c r="I91" s="226">
        <v>0</v>
      </c>
      <c r="J91" s="191">
        <v>8214.63</v>
      </c>
      <c r="K91" s="192">
        <v>0.13</v>
      </c>
      <c r="L91" s="191">
        <v>8214.63</v>
      </c>
      <c r="M91" s="191">
        <v>0</v>
      </c>
      <c r="N91" s="191">
        <v>8214.63</v>
      </c>
      <c r="O91" s="192">
        <v>0.13</v>
      </c>
      <c r="P91" s="191">
        <v>8214.63</v>
      </c>
      <c r="Q91" s="191">
        <v>0</v>
      </c>
      <c r="R91" s="191">
        <v>8214.63</v>
      </c>
      <c r="S91" s="192">
        <v>0.13</v>
      </c>
      <c r="T91" s="191">
        <v>8214.63</v>
      </c>
      <c r="U91" s="191">
        <v>0</v>
      </c>
      <c r="V91" s="191">
        <v>8214.63</v>
      </c>
      <c r="W91" s="192">
        <v>0.13</v>
      </c>
      <c r="X91" s="193">
        <v>8214.63</v>
      </c>
      <c r="Y91" s="193">
        <v>0</v>
      </c>
      <c r="Z91" s="193">
        <v>8214.63</v>
      </c>
      <c r="AA91" s="192">
        <v>0.13</v>
      </c>
      <c r="AB91" s="191">
        <v>8214.63</v>
      </c>
      <c r="AC91" s="191">
        <v>0</v>
      </c>
      <c r="AD91" s="191">
        <v>8214.63</v>
      </c>
      <c r="AE91" s="192">
        <v>0.13</v>
      </c>
      <c r="AF91" s="194">
        <v>9019.66374</v>
      </c>
      <c r="AG91" s="195">
        <f t="shared" si="4"/>
        <v>8268.025095</v>
      </c>
      <c r="AH91" s="194">
        <f t="shared" si="5"/>
        <v>9019.66374</v>
      </c>
      <c r="AI91" s="196"/>
      <c r="AJ91" s="196"/>
    </row>
    <row r="92" s="166" customFormat="1" ht="24" customHeight="1" spans="1:36">
      <c r="A92" s="186">
        <v>89</v>
      </c>
      <c r="B92" s="212" t="s">
        <v>634</v>
      </c>
      <c r="C92" s="212" t="s">
        <v>635</v>
      </c>
      <c r="D92" s="220"/>
      <c r="E92" s="212" t="s">
        <v>73</v>
      </c>
      <c r="F92" s="190" t="s">
        <v>636</v>
      </c>
      <c r="G92" s="190"/>
      <c r="H92" s="191">
        <v>6786.9</v>
      </c>
      <c r="I92" s="226">
        <v>0</v>
      </c>
      <c r="J92" s="191">
        <v>6786.9</v>
      </c>
      <c r="K92" s="192">
        <v>0.13</v>
      </c>
      <c r="L92" s="191">
        <v>6786.9</v>
      </c>
      <c r="M92" s="191">
        <v>0</v>
      </c>
      <c r="N92" s="191">
        <v>6786.9</v>
      </c>
      <c r="O92" s="192">
        <v>0.13</v>
      </c>
      <c r="P92" s="191">
        <v>6786.9</v>
      </c>
      <c r="Q92" s="191">
        <v>0</v>
      </c>
      <c r="R92" s="191">
        <v>6786.9</v>
      </c>
      <c r="S92" s="192">
        <v>0.13</v>
      </c>
      <c r="T92" s="191">
        <v>6786.9</v>
      </c>
      <c r="U92" s="191">
        <v>0</v>
      </c>
      <c r="V92" s="191">
        <v>6786.9</v>
      </c>
      <c r="W92" s="192">
        <v>0.13</v>
      </c>
      <c r="X92" s="193">
        <v>6786.9</v>
      </c>
      <c r="Y92" s="193">
        <v>0</v>
      </c>
      <c r="Z92" s="193">
        <v>6786.9</v>
      </c>
      <c r="AA92" s="192">
        <v>0.13</v>
      </c>
      <c r="AB92" s="191">
        <v>6786.9</v>
      </c>
      <c r="AC92" s="191">
        <v>0</v>
      </c>
      <c r="AD92" s="191">
        <v>6786.9</v>
      </c>
      <c r="AE92" s="192">
        <v>0.13</v>
      </c>
      <c r="AF92" s="194">
        <v>7452.0162</v>
      </c>
      <c r="AG92" s="195">
        <f t="shared" si="4"/>
        <v>6831.01485</v>
      </c>
      <c r="AH92" s="194">
        <f t="shared" si="5"/>
        <v>7452.0162</v>
      </c>
      <c r="AI92" s="196"/>
      <c r="AJ92" s="196"/>
    </row>
    <row r="93" s="166" customFormat="1" ht="24" customHeight="1" spans="1:36">
      <c r="A93" s="186">
        <v>90</v>
      </c>
      <c r="B93" s="212" t="s">
        <v>637</v>
      </c>
      <c r="C93" s="212" t="s">
        <v>638</v>
      </c>
      <c r="D93" s="220"/>
      <c r="E93" s="212" t="s">
        <v>73</v>
      </c>
      <c r="F93" s="190" t="s">
        <v>639</v>
      </c>
      <c r="G93" s="190"/>
      <c r="H93" s="191">
        <v>8214.63</v>
      </c>
      <c r="I93" s="226">
        <v>0</v>
      </c>
      <c r="J93" s="191">
        <v>8214.63</v>
      </c>
      <c r="K93" s="192">
        <v>0.13</v>
      </c>
      <c r="L93" s="191">
        <v>8214.63</v>
      </c>
      <c r="M93" s="191">
        <v>0</v>
      </c>
      <c r="N93" s="191">
        <v>8214.63</v>
      </c>
      <c r="O93" s="192">
        <v>0.13</v>
      </c>
      <c r="P93" s="191">
        <v>8214.63</v>
      </c>
      <c r="Q93" s="191">
        <v>0</v>
      </c>
      <c r="R93" s="191">
        <v>8214.63</v>
      </c>
      <c r="S93" s="192">
        <v>0.13</v>
      </c>
      <c r="T93" s="191">
        <v>8214.63</v>
      </c>
      <c r="U93" s="191">
        <v>0</v>
      </c>
      <c r="V93" s="191">
        <v>8214.63</v>
      </c>
      <c r="W93" s="192">
        <v>0.13</v>
      </c>
      <c r="X93" s="193">
        <v>8214.63</v>
      </c>
      <c r="Y93" s="193">
        <v>0</v>
      </c>
      <c r="Z93" s="193">
        <v>8214.63</v>
      </c>
      <c r="AA93" s="192">
        <v>0.13</v>
      </c>
      <c r="AB93" s="191">
        <v>8214.63</v>
      </c>
      <c r="AC93" s="191">
        <v>0</v>
      </c>
      <c r="AD93" s="191">
        <v>8214.63</v>
      </c>
      <c r="AE93" s="192">
        <v>0.13</v>
      </c>
      <c r="AF93" s="194">
        <v>9019.66374</v>
      </c>
      <c r="AG93" s="195">
        <f t="shared" si="4"/>
        <v>8268.025095</v>
      </c>
      <c r="AH93" s="194">
        <f t="shared" si="5"/>
        <v>9019.66374</v>
      </c>
      <c r="AI93" s="196"/>
      <c r="AJ93" s="196"/>
    </row>
    <row r="94" s="166" customFormat="1" ht="24" customHeight="1" spans="1:36">
      <c r="A94" s="186">
        <v>91</v>
      </c>
      <c r="B94" s="212" t="s">
        <v>640</v>
      </c>
      <c r="C94" s="212" t="s">
        <v>641</v>
      </c>
      <c r="D94" s="220"/>
      <c r="E94" s="212" t="s">
        <v>73</v>
      </c>
      <c r="F94" s="190" t="s">
        <v>642</v>
      </c>
      <c r="G94" s="190"/>
      <c r="H94" s="191">
        <v>9358.9</v>
      </c>
      <c r="I94" s="226">
        <v>0</v>
      </c>
      <c r="J94" s="191">
        <v>9358.9</v>
      </c>
      <c r="K94" s="192">
        <v>0.13</v>
      </c>
      <c r="L94" s="191">
        <v>9358.9</v>
      </c>
      <c r="M94" s="191">
        <v>0</v>
      </c>
      <c r="N94" s="191">
        <v>9358.9</v>
      </c>
      <c r="O94" s="192">
        <v>0.13</v>
      </c>
      <c r="P94" s="191">
        <v>9358.9</v>
      </c>
      <c r="Q94" s="191">
        <v>0</v>
      </c>
      <c r="R94" s="191">
        <v>9358.9</v>
      </c>
      <c r="S94" s="192">
        <v>0.13</v>
      </c>
      <c r="T94" s="191">
        <v>9358.9</v>
      </c>
      <c r="U94" s="191">
        <v>0</v>
      </c>
      <c r="V94" s="191">
        <v>9358.9</v>
      </c>
      <c r="W94" s="192">
        <v>0.13</v>
      </c>
      <c r="X94" s="193">
        <v>9358.9</v>
      </c>
      <c r="Y94" s="193">
        <v>0</v>
      </c>
      <c r="Z94" s="193">
        <v>9358.9</v>
      </c>
      <c r="AA94" s="192">
        <v>0.13</v>
      </c>
      <c r="AB94" s="191">
        <v>9358.9</v>
      </c>
      <c r="AC94" s="191">
        <v>0</v>
      </c>
      <c r="AD94" s="191">
        <v>9358.9</v>
      </c>
      <c r="AE94" s="192">
        <v>0.13</v>
      </c>
      <c r="AF94" s="194">
        <v>10276.0722</v>
      </c>
      <c r="AG94" s="195">
        <f t="shared" si="4"/>
        <v>9419.73285</v>
      </c>
      <c r="AH94" s="194">
        <f t="shared" si="5"/>
        <v>10276.0722</v>
      </c>
      <c r="AI94" s="196"/>
      <c r="AJ94" s="196"/>
    </row>
    <row r="95" s="166" customFormat="1" ht="24" customHeight="1" spans="1:36">
      <c r="A95" s="186">
        <v>92</v>
      </c>
      <c r="B95" s="212" t="s">
        <v>643</v>
      </c>
      <c r="C95" s="212" t="s">
        <v>644</v>
      </c>
      <c r="D95" s="220"/>
      <c r="E95" s="212" t="s">
        <v>73</v>
      </c>
      <c r="F95" s="190" t="s">
        <v>645</v>
      </c>
      <c r="G95" s="190"/>
      <c r="H95" s="191">
        <v>10716.07</v>
      </c>
      <c r="I95" s="226">
        <v>0</v>
      </c>
      <c r="J95" s="191">
        <v>10716.07</v>
      </c>
      <c r="K95" s="192">
        <v>0.13</v>
      </c>
      <c r="L95" s="191">
        <v>10716.07</v>
      </c>
      <c r="M95" s="191">
        <v>0</v>
      </c>
      <c r="N95" s="191">
        <v>10716.07</v>
      </c>
      <c r="O95" s="192">
        <v>0.13</v>
      </c>
      <c r="P95" s="191">
        <v>10716.07</v>
      </c>
      <c r="Q95" s="191">
        <v>0</v>
      </c>
      <c r="R95" s="191">
        <v>10716.07</v>
      </c>
      <c r="S95" s="192">
        <v>0.13</v>
      </c>
      <c r="T95" s="191">
        <v>10716.07</v>
      </c>
      <c r="U95" s="191">
        <v>0</v>
      </c>
      <c r="V95" s="191">
        <v>10716.07</v>
      </c>
      <c r="W95" s="192">
        <v>0.13</v>
      </c>
      <c r="X95" s="193">
        <v>10716.07</v>
      </c>
      <c r="Y95" s="193">
        <v>0</v>
      </c>
      <c r="Z95" s="193">
        <v>10716.07</v>
      </c>
      <c r="AA95" s="192">
        <v>0.13</v>
      </c>
      <c r="AB95" s="191">
        <v>10716.07</v>
      </c>
      <c r="AC95" s="191">
        <v>0</v>
      </c>
      <c r="AD95" s="191">
        <v>10716.07</v>
      </c>
      <c r="AE95" s="192">
        <v>0.13</v>
      </c>
      <c r="AF95" s="194">
        <v>11766.24486</v>
      </c>
      <c r="AG95" s="195">
        <f t="shared" si="4"/>
        <v>10785.724455</v>
      </c>
      <c r="AH95" s="194">
        <f t="shared" si="5"/>
        <v>11766.24486</v>
      </c>
      <c r="AI95" s="196"/>
      <c r="AJ95" s="196"/>
    </row>
    <row r="96" s="166" customFormat="1" ht="24" customHeight="1" spans="1:36">
      <c r="A96" s="186">
        <v>93</v>
      </c>
      <c r="B96" s="213"/>
      <c r="C96" s="212" t="s">
        <v>646</v>
      </c>
      <c r="D96" s="200"/>
      <c r="E96" s="197" t="s">
        <v>378</v>
      </c>
      <c r="F96" s="212" t="s">
        <v>647</v>
      </c>
      <c r="G96" s="220" t="s">
        <v>648</v>
      </c>
      <c r="H96" s="191">
        <v>12019.68</v>
      </c>
      <c r="I96" s="226">
        <v>0</v>
      </c>
      <c r="J96" s="191">
        <v>12019.68</v>
      </c>
      <c r="K96" s="192">
        <v>0.13</v>
      </c>
      <c r="L96" s="191">
        <v>12019.68</v>
      </c>
      <c r="M96" s="191">
        <v>0</v>
      </c>
      <c r="N96" s="191">
        <v>12019.68</v>
      </c>
      <c r="O96" s="192">
        <v>0.13</v>
      </c>
      <c r="P96" s="191">
        <v>12019.68</v>
      </c>
      <c r="Q96" s="191">
        <v>0</v>
      </c>
      <c r="R96" s="191">
        <v>12019.68</v>
      </c>
      <c r="S96" s="192">
        <v>0.13</v>
      </c>
      <c r="T96" s="191">
        <v>12019.68</v>
      </c>
      <c r="U96" s="191">
        <v>0</v>
      </c>
      <c r="V96" s="191">
        <v>12019.68</v>
      </c>
      <c r="W96" s="192">
        <v>0.13</v>
      </c>
      <c r="X96" s="193">
        <v>12019.68</v>
      </c>
      <c r="Y96" s="193">
        <v>0</v>
      </c>
      <c r="Z96" s="193">
        <v>12019.68</v>
      </c>
      <c r="AA96" s="192">
        <v>0.13</v>
      </c>
      <c r="AB96" s="191">
        <v>12019.68</v>
      </c>
      <c r="AC96" s="191">
        <v>0</v>
      </c>
      <c r="AD96" s="191">
        <v>12019.68</v>
      </c>
      <c r="AE96" s="192">
        <v>0.13</v>
      </c>
      <c r="AF96" s="194">
        <v>13197.60864</v>
      </c>
      <c r="AG96" s="195">
        <f t="shared" si="4"/>
        <v>12097.80792</v>
      </c>
      <c r="AH96" s="194">
        <f t="shared" si="5"/>
        <v>13197.60864</v>
      </c>
      <c r="AI96" s="196"/>
      <c r="AJ96" s="196"/>
    </row>
    <row r="97" s="166" customFormat="1" ht="24" customHeight="1" spans="1:36">
      <c r="A97" s="186">
        <v>94</v>
      </c>
      <c r="B97" s="213"/>
      <c r="C97" s="212" t="s">
        <v>649</v>
      </c>
      <c r="D97" s="200"/>
      <c r="E97" s="197" t="s">
        <v>378</v>
      </c>
      <c r="F97" s="212" t="s">
        <v>650</v>
      </c>
      <c r="G97" s="220" t="s">
        <v>648</v>
      </c>
      <c r="H97" s="191">
        <v>12019.68</v>
      </c>
      <c r="I97" s="226">
        <v>0</v>
      </c>
      <c r="J97" s="191">
        <v>12019.68</v>
      </c>
      <c r="K97" s="192">
        <v>0.13</v>
      </c>
      <c r="L97" s="191">
        <v>12019.68</v>
      </c>
      <c r="M97" s="191">
        <v>0</v>
      </c>
      <c r="N97" s="191">
        <v>12019.68</v>
      </c>
      <c r="O97" s="192">
        <v>0.13</v>
      </c>
      <c r="P97" s="191">
        <v>12019.68</v>
      </c>
      <c r="Q97" s="191">
        <v>0</v>
      </c>
      <c r="R97" s="191">
        <v>12019.68</v>
      </c>
      <c r="S97" s="192">
        <v>0.13</v>
      </c>
      <c r="T97" s="191">
        <v>12019.68</v>
      </c>
      <c r="U97" s="191">
        <v>0</v>
      </c>
      <c r="V97" s="191">
        <v>12019.68</v>
      </c>
      <c r="W97" s="192">
        <v>0.13</v>
      </c>
      <c r="X97" s="193">
        <v>12019.68</v>
      </c>
      <c r="Y97" s="193">
        <v>0</v>
      </c>
      <c r="Z97" s="193">
        <v>12019.68</v>
      </c>
      <c r="AA97" s="192">
        <v>0.13</v>
      </c>
      <c r="AB97" s="191">
        <v>12019.68</v>
      </c>
      <c r="AC97" s="191">
        <v>0</v>
      </c>
      <c r="AD97" s="191">
        <v>12019.68</v>
      </c>
      <c r="AE97" s="192">
        <v>0.13</v>
      </c>
      <c r="AF97" s="194">
        <v>13197.60864</v>
      </c>
      <c r="AG97" s="195">
        <f t="shared" si="4"/>
        <v>12097.80792</v>
      </c>
      <c r="AH97" s="194">
        <f t="shared" si="5"/>
        <v>13197.60864</v>
      </c>
      <c r="AI97" s="196"/>
      <c r="AJ97" s="196"/>
    </row>
    <row r="98" s="166" customFormat="1" ht="24" customHeight="1" spans="1:36">
      <c r="A98" s="186">
        <v>95</v>
      </c>
      <c r="B98" s="220"/>
      <c r="C98" s="212" t="s">
        <v>651</v>
      </c>
      <c r="D98" s="200"/>
      <c r="E98" s="212" t="s">
        <v>73</v>
      </c>
      <c r="F98" s="220" t="s">
        <v>652</v>
      </c>
      <c r="G98" s="220" t="s">
        <v>653</v>
      </c>
      <c r="H98" s="191">
        <v>1580</v>
      </c>
      <c r="I98" s="226">
        <v>0</v>
      </c>
      <c r="J98" s="191">
        <v>1580</v>
      </c>
      <c r="K98" s="192">
        <v>0.13</v>
      </c>
      <c r="L98" s="191">
        <v>1580</v>
      </c>
      <c r="M98" s="191">
        <v>0</v>
      </c>
      <c r="N98" s="191">
        <v>1580</v>
      </c>
      <c r="O98" s="192">
        <v>0.13</v>
      </c>
      <c r="P98" s="191">
        <v>1580</v>
      </c>
      <c r="Q98" s="191">
        <v>0</v>
      </c>
      <c r="R98" s="191">
        <v>1580</v>
      </c>
      <c r="S98" s="192">
        <v>0.13</v>
      </c>
      <c r="T98" s="191">
        <v>1580</v>
      </c>
      <c r="U98" s="191">
        <v>0</v>
      </c>
      <c r="V98" s="191">
        <v>1580</v>
      </c>
      <c r="W98" s="192">
        <v>0.13</v>
      </c>
      <c r="X98" s="193">
        <v>1580</v>
      </c>
      <c r="Y98" s="193">
        <v>0</v>
      </c>
      <c r="Z98" s="193">
        <v>1580</v>
      </c>
      <c r="AA98" s="192">
        <v>0.13</v>
      </c>
      <c r="AB98" s="191">
        <v>1580</v>
      </c>
      <c r="AC98" s="191">
        <v>0</v>
      </c>
      <c r="AD98" s="191">
        <v>1580</v>
      </c>
      <c r="AE98" s="192">
        <v>0.13</v>
      </c>
      <c r="AF98" s="194">
        <v>1734.84</v>
      </c>
      <c r="AG98" s="195">
        <f t="shared" si="4"/>
        <v>1590.27</v>
      </c>
      <c r="AH98" s="194">
        <f t="shared" si="5"/>
        <v>1734.84</v>
      </c>
      <c r="AI98" s="196"/>
      <c r="AJ98" s="196"/>
    </row>
    <row r="99" s="166" customFormat="1" ht="24" customHeight="1" spans="1:36">
      <c r="A99" s="186">
        <v>96</v>
      </c>
      <c r="B99" s="220"/>
      <c r="C99" s="212" t="s">
        <v>654</v>
      </c>
      <c r="D99" s="200"/>
      <c r="E99" s="212" t="s">
        <v>73</v>
      </c>
      <c r="F99" s="220" t="s">
        <v>655</v>
      </c>
      <c r="G99" s="220" t="s">
        <v>653</v>
      </c>
      <c r="H99" s="191">
        <v>2040</v>
      </c>
      <c r="I99" s="226">
        <v>0</v>
      </c>
      <c r="J99" s="191">
        <v>2040</v>
      </c>
      <c r="K99" s="192">
        <v>0.13</v>
      </c>
      <c r="L99" s="191">
        <v>2040</v>
      </c>
      <c r="M99" s="191">
        <v>0</v>
      </c>
      <c r="N99" s="191">
        <v>2040</v>
      </c>
      <c r="O99" s="192">
        <v>0.13</v>
      </c>
      <c r="P99" s="191">
        <v>2040</v>
      </c>
      <c r="Q99" s="191">
        <v>0</v>
      </c>
      <c r="R99" s="191">
        <v>2040</v>
      </c>
      <c r="S99" s="192">
        <v>0.13</v>
      </c>
      <c r="T99" s="191">
        <v>2040</v>
      </c>
      <c r="U99" s="191">
        <v>0</v>
      </c>
      <c r="V99" s="191">
        <v>2040</v>
      </c>
      <c r="W99" s="192">
        <v>0.13</v>
      </c>
      <c r="X99" s="193">
        <v>2040</v>
      </c>
      <c r="Y99" s="193">
        <v>0</v>
      </c>
      <c r="Z99" s="193">
        <v>2040</v>
      </c>
      <c r="AA99" s="192">
        <v>0.13</v>
      </c>
      <c r="AB99" s="191">
        <v>2040</v>
      </c>
      <c r="AC99" s="191">
        <v>0</v>
      </c>
      <c r="AD99" s="191">
        <v>2040</v>
      </c>
      <c r="AE99" s="192">
        <v>0.13</v>
      </c>
      <c r="AF99" s="194">
        <v>2239.92</v>
      </c>
      <c r="AG99" s="195">
        <f t="shared" si="4"/>
        <v>2053.26</v>
      </c>
      <c r="AH99" s="194">
        <f t="shared" si="5"/>
        <v>2239.92</v>
      </c>
      <c r="AI99" s="196"/>
      <c r="AJ99" s="196"/>
    </row>
    <row r="100" s="166" customFormat="1" ht="24" customHeight="1" spans="1:36">
      <c r="A100" s="186">
        <v>97</v>
      </c>
      <c r="B100" s="220"/>
      <c r="C100" s="212" t="s">
        <v>656</v>
      </c>
      <c r="D100" s="200"/>
      <c r="E100" s="212" t="s">
        <v>73</v>
      </c>
      <c r="F100" s="220" t="s">
        <v>657</v>
      </c>
      <c r="G100" s="220" t="s">
        <v>653</v>
      </c>
      <c r="H100" s="191">
        <v>3468</v>
      </c>
      <c r="I100" s="226">
        <v>0</v>
      </c>
      <c r="J100" s="191">
        <v>3468</v>
      </c>
      <c r="K100" s="192">
        <v>0.13</v>
      </c>
      <c r="L100" s="191">
        <v>3468</v>
      </c>
      <c r="M100" s="191">
        <v>0</v>
      </c>
      <c r="N100" s="191">
        <v>3468</v>
      </c>
      <c r="O100" s="192">
        <v>0.13</v>
      </c>
      <c r="P100" s="191">
        <v>3468</v>
      </c>
      <c r="Q100" s="191">
        <v>0</v>
      </c>
      <c r="R100" s="191">
        <v>3468</v>
      </c>
      <c r="S100" s="192">
        <v>0.13</v>
      </c>
      <c r="T100" s="191">
        <v>3468</v>
      </c>
      <c r="U100" s="191">
        <v>0</v>
      </c>
      <c r="V100" s="191">
        <v>3468</v>
      </c>
      <c r="W100" s="192">
        <v>0.13</v>
      </c>
      <c r="X100" s="193">
        <v>3468</v>
      </c>
      <c r="Y100" s="193">
        <v>0</v>
      </c>
      <c r="Z100" s="193">
        <v>3468</v>
      </c>
      <c r="AA100" s="192">
        <v>0.13</v>
      </c>
      <c r="AB100" s="191">
        <v>3468</v>
      </c>
      <c r="AC100" s="191">
        <v>0</v>
      </c>
      <c r="AD100" s="191">
        <v>3468</v>
      </c>
      <c r="AE100" s="192">
        <v>0.13</v>
      </c>
      <c r="AF100" s="194">
        <v>3807.864</v>
      </c>
      <c r="AG100" s="195">
        <f t="shared" si="4"/>
        <v>3490.542</v>
      </c>
      <c r="AH100" s="194">
        <f t="shared" si="5"/>
        <v>3807.864</v>
      </c>
      <c r="AI100" s="196"/>
      <c r="AJ100" s="196"/>
    </row>
    <row r="101" s="166" customFormat="1" ht="24" customHeight="1" spans="1:36">
      <c r="A101" s="186">
        <v>98</v>
      </c>
      <c r="B101" s="220"/>
      <c r="C101" s="212" t="s">
        <v>658</v>
      </c>
      <c r="D101" s="200"/>
      <c r="E101" s="212" t="s">
        <v>73</v>
      </c>
      <c r="F101" s="220" t="s">
        <v>659</v>
      </c>
      <c r="G101" s="220" t="s">
        <v>653</v>
      </c>
      <c r="H101" s="191">
        <v>4368</v>
      </c>
      <c r="I101" s="226">
        <v>0</v>
      </c>
      <c r="J101" s="191">
        <v>4368</v>
      </c>
      <c r="K101" s="192">
        <v>0.13</v>
      </c>
      <c r="L101" s="191">
        <v>4368</v>
      </c>
      <c r="M101" s="191">
        <v>0</v>
      </c>
      <c r="N101" s="191">
        <v>4368</v>
      </c>
      <c r="O101" s="192">
        <v>0.13</v>
      </c>
      <c r="P101" s="191">
        <v>4368</v>
      </c>
      <c r="Q101" s="191">
        <v>0</v>
      </c>
      <c r="R101" s="191">
        <v>4368</v>
      </c>
      <c r="S101" s="192">
        <v>0.13</v>
      </c>
      <c r="T101" s="191">
        <v>4368</v>
      </c>
      <c r="U101" s="191">
        <v>0</v>
      </c>
      <c r="V101" s="191">
        <v>4368</v>
      </c>
      <c r="W101" s="192">
        <v>0.13</v>
      </c>
      <c r="X101" s="193">
        <v>4368</v>
      </c>
      <c r="Y101" s="193">
        <v>0</v>
      </c>
      <c r="Z101" s="193">
        <v>4368</v>
      </c>
      <c r="AA101" s="192">
        <v>0.13</v>
      </c>
      <c r="AB101" s="191">
        <v>4368</v>
      </c>
      <c r="AC101" s="191">
        <v>0</v>
      </c>
      <c r="AD101" s="191">
        <v>4368</v>
      </c>
      <c r="AE101" s="192">
        <v>0.13</v>
      </c>
      <c r="AF101" s="194">
        <v>4796.064</v>
      </c>
      <c r="AG101" s="195">
        <f t="shared" si="4"/>
        <v>4396.392</v>
      </c>
      <c r="AH101" s="194">
        <f t="shared" si="5"/>
        <v>4796.064</v>
      </c>
      <c r="AI101" s="196"/>
      <c r="AJ101" s="196"/>
    </row>
  </sheetData>
  <autoFilter xmlns:etc="http://www.wps.cn/officeDocument/2017/etCustomData" ref="A3:AJ101" etc:filterBottomFollowUsedRange="0">
    <extLst/>
  </autoFilter>
  <mergeCells count="20">
    <mergeCell ref="H1:K1"/>
    <mergeCell ref="L1:O1"/>
    <mergeCell ref="P1:S1"/>
    <mergeCell ref="T1:W1"/>
    <mergeCell ref="X1:AA1"/>
    <mergeCell ref="AB1:AE1"/>
    <mergeCell ref="H2:K2"/>
    <mergeCell ref="L2:O2"/>
    <mergeCell ref="P2:S2"/>
    <mergeCell ref="T2:W2"/>
    <mergeCell ref="X2:AA2"/>
    <mergeCell ref="AB2:AE2"/>
    <mergeCell ref="A1:A3"/>
    <mergeCell ref="B1:B3"/>
    <mergeCell ref="C1:C3"/>
    <mergeCell ref="D1:D3"/>
    <mergeCell ref="E1:E3"/>
    <mergeCell ref="F1:F3"/>
    <mergeCell ref="G1:G3"/>
    <mergeCell ref="AG1:AG3"/>
  </mergeCells>
  <pageMargins left="0.275" right="0.0784722222222222" top="0.432638888888889" bottom="0.751388888888889" header="0.196527777777778" footer="0.298611111111111"/>
  <pageSetup paperSize="9" scale="73" fitToHeight="0" orientation="landscape" horizontalDpi="6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97"/>
  <sheetViews>
    <sheetView topLeftCell="E1" workbookViewId="0">
      <selection activeCell="G5" sqref="G5"/>
    </sheetView>
  </sheetViews>
  <sheetFormatPr defaultColWidth="9" defaultRowHeight="13.5"/>
  <cols>
    <col min="1" max="1" width="9.5" customWidth="1"/>
    <col min="2" max="2" width="30.3833333333333" style="104" customWidth="1"/>
    <col min="3" max="3" width="28.1333333333333" customWidth="1"/>
    <col min="4" max="4" width="30.1333333333333" customWidth="1"/>
    <col min="5" max="5" width="13.8833333333333" customWidth="1"/>
    <col min="6" max="6" width="18.3833333333333" customWidth="1"/>
    <col min="7" max="7" width="99.8833333333333" style="104" customWidth="1"/>
    <col min="10" max="10" width="11.6333333333333" customWidth="1"/>
    <col min="11" max="11" width="11.6333333333333" style="105" customWidth="1"/>
    <col min="12" max="14" width="11.6333333333333" customWidth="1"/>
    <col min="15" max="15" width="25.3833333333333" style="106" customWidth="1"/>
    <col min="16" max="16" width="26.8833333333333" style="101" customWidth="1"/>
    <col min="17" max="17" width="11.6333333333333"/>
  </cols>
  <sheetData>
    <row r="1" s="100" customFormat="1" ht="16.5" spans="1:17">
      <c r="A1" s="107" t="s">
        <v>154</v>
      </c>
      <c r="B1" s="108" t="s">
        <v>1</v>
      </c>
      <c r="C1" s="107" t="s">
        <v>155</v>
      </c>
      <c r="D1" s="107" t="s">
        <v>156</v>
      </c>
      <c r="E1" s="109" t="s">
        <v>3</v>
      </c>
      <c r="F1" s="110" t="s">
        <v>660</v>
      </c>
      <c r="G1" s="111" t="s">
        <v>4</v>
      </c>
      <c r="H1" s="49" t="s">
        <v>661</v>
      </c>
      <c r="I1" s="49" t="s">
        <v>163</v>
      </c>
      <c r="J1" s="49" t="s">
        <v>662</v>
      </c>
      <c r="K1" s="112" t="s">
        <v>335</v>
      </c>
      <c r="L1" s="113" t="s">
        <v>663</v>
      </c>
      <c r="M1" s="112" t="s">
        <v>664</v>
      </c>
      <c r="N1" s="113" t="s">
        <v>163</v>
      </c>
      <c r="O1" s="33" t="s">
        <v>665</v>
      </c>
      <c r="P1" s="114" t="s">
        <v>335</v>
      </c>
      <c r="Q1" s="115" t="s">
        <v>666</v>
      </c>
    </row>
    <row r="2" s="100" customFormat="1" ht="35.1" customHeight="1" spans="1:17">
      <c r="A2" s="107"/>
      <c r="B2" s="108"/>
      <c r="C2" s="107"/>
      <c r="D2" s="107"/>
      <c r="E2" s="109"/>
      <c r="F2" s="110"/>
      <c r="G2" s="111"/>
      <c r="H2" s="49"/>
      <c r="I2" s="49"/>
      <c r="J2" s="49"/>
      <c r="K2" s="116"/>
      <c r="L2" s="117"/>
      <c r="M2" s="116"/>
      <c r="N2" s="117"/>
      <c r="O2" s="47"/>
      <c r="P2" s="114"/>
      <c r="Q2" s="49" t="s">
        <v>667</v>
      </c>
    </row>
    <row r="3" ht="121.5" spans="1:17">
      <c r="A3" s="7">
        <v>1</v>
      </c>
      <c r="B3" s="118" t="s">
        <v>668</v>
      </c>
      <c r="C3" s="7" t="s">
        <v>355</v>
      </c>
      <c r="D3" s="7" t="s">
        <v>356</v>
      </c>
      <c r="E3" s="12" t="s">
        <v>357</v>
      </c>
      <c r="F3" s="7" t="s">
        <v>669</v>
      </c>
      <c r="G3" s="17" t="s">
        <v>670</v>
      </c>
      <c r="H3" s="119">
        <v>2138</v>
      </c>
      <c r="I3" s="119">
        <v>42.76</v>
      </c>
      <c r="J3" s="119">
        <v>2180.76</v>
      </c>
      <c r="K3" s="120" t="s">
        <v>671</v>
      </c>
      <c r="L3" s="119" t="s">
        <v>672</v>
      </c>
      <c r="M3" s="119"/>
      <c r="N3" s="119"/>
      <c r="O3" s="121" t="s">
        <v>673</v>
      </c>
      <c r="P3" s="121" t="s">
        <v>674</v>
      </c>
      <c r="Q3" s="9">
        <v>8667.9844</v>
      </c>
    </row>
    <row r="4" ht="121.5" spans="1:17">
      <c r="A4" s="7">
        <v>2</v>
      </c>
      <c r="B4" s="118" t="s">
        <v>675</v>
      </c>
      <c r="C4" s="7" t="s">
        <v>361</v>
      </c>
      <c r="D4" s="7" t="s">
        <v>362</v>
      </c>
      <c r="E4" s="12" t="s">
        <v>357</v>
      </c>
      <c r="F4" s="7" t="s">
        <v>676</v>
      </c>
      <c r="G4" s="17" t="s">
        <v>677</v>
      </c>
      <c r="H4" s="119">
        <v>2511</v>
      </c>
      <c r="I4" s="119">
        <v>50.22</v>
      </c>
      <c r="J4" s="119">
        <v>2561.22</v>
      </c>
      <c r="K4" s="120" t="s">
        <v>678</v>
      </c>
      <c r="L4" s="119" t="s">
        <v>672</v>
      </c>
      <c r="M4" s="119"/>
      <c r="N4" s="119"/>
      <c r="O4" s="121" t="s">
        <v>673</v>
      </c>
      <c r="P4" s="121"/>
      <c r="Q4" s="9">
        <v>14483.1116</v>
      </c>
    </row>
    <row r="5" ht="108" spans="1:17">
      <c r="A5" s="7">
        <v>3</v>
      </c>
      <c r="B5" s="118" t="s">
        <v>679</v>
      </c>
      <c r="C5" s="7" t="s">
        <v>365</v>
      </c>
      <c r="D5" s="7" t="s">
        <v>356</v>
      </c>
      <c r="E5" s="12" t="s">
        <v>357</v>
      </c>
      <c r="F5" s="10" t="s">
        <v>680</v>
      </c>
      <c r="G5" s="17" t="s">
        <v>681</v>
      </c>
      <c r="H5" s="119">
        <v>1605</v>
      </c>
      <c r="I5" s="119">
        <v>32.1</v>
      </c>
      <c r="J5" s="119">
        <v>1637.1</v>
      </c>
      <c r="K5" s="120" t="s">
        <v>682</v>
      </c>
      <c r="L5" s="119" t="s">
        <v>683</v>
      </c>
      <c r="M5" s="119"/>
      <c r="N5" s="119"/>
      <c r="O5" s="121" t="s">
        <v>673</v>
      </c>
      <c r="P5" s="121"/>
      <c r="Q5" s="9">
        <v>9946.5146</v>
      </c>
    </row>
    <row r="6" ht="108" spans="1:17">
      <c r="A6" s="7">
        <v>4</v>
      </c>
      <c r="B6" s="118" t="s">
        <v>684</v>
      </c>
      <c r="C6" s="7" t="s">
        <v>368</v>
      </c>
      <c r="D6" s="7" t="s">
        <v>362</v>
      </c>
      <c r="E6" s="12" t="s">
        <v>357</v>
      </c>
      <c r="F6" s="7" t="s">
        <v>685</v>
      </c>
      <c r="G6" s="17" t="s">
        <v>686</v>
      </c>
      <c r="H6" s="119">
        <v>1829</v>
      </c>
      <c r="I6" s="119">
        <v>36.58</v>
      </c>
      <c r="J6" s="119">
        <v>1865.58</v>
      </c>
      <c r="K6" s="120" t="s">
        <v>678</v>
      </c>
      <c r="L6" s="119" t="s">
        <v>683</v>
      </c>
      <c r="M6" s="119"/>
      <c r="N6" s="119"/>
      <c r="O6" s="121" t="s">
        <v>673</v>
      </c>
      <c r="P6" s="121"/>
      <c r="Q6" s="9">
        <v>5190.8468</v>
      </c>
    </row>
    <row r="7" ht="94.5" spans="1:17">
      <c r="A7" s="7">
        <v>5</v>
      </c>
      <c r="B7" s="118" t="s">
        <v>687</v>
      </c>
      <c r="C7" s="7" t="s">
        <v>371</v>
      </c>
      <c r="D7" s="7" t="s">
        <v>688</v>
      </c>
      <c r="E7" s="12" t="s">
        <v>357</v>
      </c>
      <c r="F7" s="7" t="s">
        <v>689</v>
      </c>
      <c r="G7" s="17" t="s">
        <v>690</v>
      </c>
      <c r="H7" s="119">
        <v>1493</v>
      </c>
      <c r="I7" s="119">
        <v>29.86</v>
      </c>
      <c r="J7" s="119">
        <v>1522.86</v>
      </c>
      <c r="K7" s="120" t="s">
        <v>691</v>
      </c>
      <c r="L7" s="119" t="s">
        <v>692</v>
      </c>
      <c r="M7" s="119"/>
      <c r="N7" s="119"/>
      <c r="O7" s="119" t="s">
        <v>673</v>
      </c>
      <c r="P7" s="119" t="s">
        <v>693</v>
      </c>
      <c r="Q7" s="9">
        <v>12.44</v>
      </c>
    </row>
    <row r="8" ht="108" spans="1:17">
      <c r="A8" s="7">
        <v>6</v>
      </c>
      <c r="B8" s="118" t="s">
        <v>694</v>
      </c>
      <c r="C8" s="7" t="s">
        <v>374</v>
      </c>
      <c r="D8" s="7"/>
      <c r="E8" s="12" t="s">
        <v>140</v>
      </c>
      <c r="F8" s="7" t="s">
        <v>695</v>
      </c>
      <c r="G8" s="17" t="s">
        <v>696</v>
      </c>
      <c r="H8" s="119">
        <v>1382</v>
      </c>
      <c r="I8" s="119">
        <v>27.64</v>
      </c>
      <c r="J8" s="119">
        <v>1409.64</v>
      </c>
      <c r="K8" s="120" t="s">
        <v>697</v>
      </c>
      <c r="L8" s="119" t="s">
        <v>692</v>
      </c>
      <c r="M8" s="119"/>
      <c r="N8" s="119"/>
      <c r="O8" s="121" t="s">
        <v>698</v>
      </c>
      <c r="P8" s="121"/>
      <c r="Q8" s="9">
        <v>1014.999</v>
      </c>
    </row>
    <row r="9" ht="54" spans="1:17">
      <c r="A9" s="7">
        <v>7</v>
      </c>
      <c r="B9" s="118" t="s">
        <v>699</v>
      </c>
      <c r="C9" s="7" t="s">
        <v>377</v>
      </c>
      <c r="D9" s="7"/>
      <c r="E9" s="12" t="s">
        <v>378</v>
      </c>
      <c r="F9" s="7" t="s">
        <v>700</v>
      </c>
      <c r="G9" s="17" t="s">
        <v>701</v>
      </c>
      <c r="H9" s="119">
        <v>15000</v>
      </c>
      <c r="I9" s="119">
        <v>300</v>
      </c>
      <c r="J9" s="119">
        <v>15300</v>
      </c>
      <c r="K9" s="120" t="s">
        <v>702</v>
      </c>
      <c r="L9" s="119" t="s">
        <v>703</v>
      </c>
      <c r="M9" s="119"/>
      <c r="N9" s="119"/>
      <c r="O9" s="121" t="s">
        <v>698</v>
      </c>
      <c r="P9" s="121"/>
      <c r="Q9" s="9">
        <v>4.7552</v>
      </c>
    </row>
    <row r="10" ht="135" spans="1:17">
      <c r="A10" s="7">
        <v>8</v>
      </c>
      <c r="B10" s="118" t="s">
        <v>704</v>
      </c>
      <c r="C10" s="7" t="s">
        <v>381</v>
      </c>
      <c r="D10" s="7" t="s">
        <v>382</v>
      </c>
      <c r="E10" s="12" t="s">
        <v>357</v>
      </c>
      <c r="F10" s="7" t="s">
        <v>705</v>
      </c>
      <c r="G10" s="17" t="s">
        <v>706</v>
      </c>
      <c r="H10" s="119">
        <v>2795</v>
      </c>
      <c r="I10" s="119">
        <v>55.9</v>
      </c>
      <c r="J10" s="119">
        <v>2850.9</v>
      </c>
      <c r="K10" s="120" t="s">
        <v>707</v>
      </c>
      <c r="L10" s="119" t="s">
        <v>703</v>
      </c>
      <c r="M10" s="119"/>
      <c r="N10" s="119"/>
      <c r="O10" s="121" t="s">
        <v>673</v>
      </c>
      <c r="P10" s="121"/>
      <c r="Q10" s="9">
        <v>551.1458</v>
      </c>
    </row>
    <row r="11" s="101" customFormat="1" ht="27" hidden="1" spans="1:17">
      <c r="A11" s="122">
        <v>9</v>
      </c>
      <c r="B11" s="123" t="s">
        <v>708</v>
      </c>
      <c r="C11" s="122" t="s">
        <v>709</v>
      </c>
      <c r="D11" s="122" t="s">
        <v>710</v>
      </c>
      <c r="E11" s="124" t="s">
        <v>510</v>
      </c>
      <c r="F11" s="122" t="s">
        <v>711</v>
      </c>
      <c r="G11" s="125" t="s">
        <v>712</v>
      </c>
      <c r="H11" s="124">
        <v>405</v>
      </c>
      <c r="I11" s="124">
        <v>16.2</v>
      </c>
      <c r="J11" s="124">
        <v>421.2</v>
      </c>
      <c r="K11" s="124"/>
      <c r="L11" s="124"/>
      <c r="M11" s="124"/>
      <c r="N11" s="124"/>
      <c r="O11" s="121" t="s">
        <v>673</v>
      </c>
      <c r="P11" s="121"/>
      <c r="Q11" s="21">
        <v>33.528</v>
      </c>
    </row>
    <row r="12" s="101" customFormat="1" ht="40.5" hidden="1" spans="1:17">
      <c r="A12" s="122">
        <v>10</v>
      </c>
      <c r="B12" s="123" t="s">
        <v>713</v>
      </c>
      <c r="C12" s="122" t="s">
        <v>714</v>
      </c>
      <c r="D12" s="122" t="s">
        <v>715</v>
      </c>
      <c r="E12" s="124" t="s">
        <v>510</v>
      </c>
      <c r="F12" s="122" t="s">
        <v>716</v>
      </c>
      <c r="G12" s="125" t="s">
        <v>712</v>
      </c>
      <c r="H12" s="124">
        <v>810</v>
      </c>
      <c r="I12" s="124">
        <v>32.4</v>
      </c>
      <c r="J12" s="124">
        <v>842.4</v>
      </c>
      <c r="K12" s="126"/>
      <c r="L12" s="126"/>
      <c r="M12" s="126"/>
      <c r="N12" s="126"/>
      <c r="O12" s="126" t="s">
        <v>717</v>
      </c>
      <c r="P12" s="127" t="s">
        <v>718</v>
      </c>
      <c r="Q12" s="21">
        <v>1981.547</v>
      </c>
    </row>
    <row r="13" s="101" customFormat="1" ht="40.5" hidden="1" spans="1:17">
      <c r="A13" s="122">
        <v>11</v>
      </c>
      <c r="B13" s="123" t="s">
        <v>719</v>
      </c>
      <c r="C13" s="122" t="s">
        <v>714</v>
      </c>
      <c r="D13" s="122" t="s">
        <v>720</v>
      </c>
      <c r="E13" s="124" t="s">
        <v>510</v>
      </c>
      <c r="F13" s="122" t="s">
        <v>721</v>
      </c>
      <c r="G13" s="125" t="s">
        <v>722</v>
      </c>
      <c r="H13" s="124">
        <v>2430</v>
      </c>
      <c r="I13" s="124">
        <v>48.6</v>
      </c>
      <c r="J13" s="124">
        <v>2478.6</v>
      </c>
      <c r="K13" s="124"/>
      <c r="L13" s="124"/>
      <c r="M13" s="124"/>
      <c r="N13" s="124"/>
      <c r="O13" s="121" t="s">
        <v>723</v>
      </c>
      <c r="P13" s="127" t="s">
        <v>724</v>
      </c>
      <c r="Q13" s="21">
        <v>0</v>
      </c>
    </row>
    <row r="14" ht="67.5" spans="1:17">
      <c r="A14" s="7">
        <v>12</v>
      </c>
      <c r="B14" s="118" t="s">
        <v>725</v>
      </c>
      <c r="C14" s="7" t="s">
        <v>385</v>
      </c>
      <c r="D14" s="7"/>
      <c r="E14" s="12" t="s">
        <v>357</v>
      </c>
      <c r="F14" s="9" t="s">
        <v>726</v>
      </c>
      <c r="G14" s="17" t="s">
        <v>727</v>
      </c>
      <c r="H14" s="119">
        <v>113</v>
      </c>
      <c r="I14" s="119">
        <v>2.26</v>
      </c>
      <c r="J14" s="119">
        <v>115.26</v>
      </c>
      <c r="K14" s="120" t="s">
        <v>728</v>
      </c>
      <c r="L14" s="119" t="s">
        <v>729</v>
      </c>
      <c r="M14" s="119"/>
      <c r="N14" s="119"/>
      <c r="O14" s="121" t="s">
        <v>673</v>
      </c>
      <c r="P14" s="121" t="s">
        <v>730</v>
      </c>
      <c r="Q14" s="9">
        <v>861.5861</v>
      </c>
    </row>
    <row r="15" ht="81" spans="1:17">
      <c r="A15" s="7">
        <v>13</v>
      </c>
      <c r="B15" s="118" t="s">
        <v>731</v>
      </c>
      <c r="C15" s="7" t="s">
        <v>388</v>
      </c>
      <c r="D15" s="7" t="s">
        <v>389</v>
      </c>
      <c r="E15" s="12" t="s">
        <v>390</v>
      </c>
      <c r="F15" s="7" t="s">
        <v>732</v>
      </c>
      <c r="G15" s="17" t="s">
        <v>391</v>
      </c>
      <c r="H15" s="119">
        <v>3257</v>
      </c>
      <c r="I15" s="119">
        <v>65.14</v>
      </c>
      <c r="J15" s="119">
        <v>3322.14</v>
      </c>
      <c r="K15" s="120" t="s">
        <v>733</v>
      </c>
      <c r="L15" s="119" t="s">
        <v>729</v>
      </c>
      <c r="M15" s="119"/>
      <c r="N15" s="119"/>
      <c r="O15" s="121" t="s">
        <v>698</v>
      </c>
      <c r="P15" s="121"/>
      <c r="Q15" s="9">
        <v>225</v>
      </c>
    </row>
    <row r="16" ht="81" spans="1:17">
      <c r="A16" s="7">
        <v>14</v>
      </c>
      <c r="B16" s="118" t="s">
        <v>734</v>
      </c>
      <c r="C16" s="7" t="s">
        <v>388</v>
      </c>
      <c r="D16" s="7" t="s">
        <v>393</v>
      </c>
      <c r="E16" s="12" t="s">
        <v>390</v>
      </c>
      <c r="F16" s="7" t="s">
        <v>735</v>
      </c>
      <c r="G16" s="17" t="s">
        <v>394</v>
      </c>
      <c r="H16" s="119">
        <v>2957</v>
      </c>
      <c r="I16" s="119">
        <v>59.14</v>
      </c>
      <c r="J16" s="119">
        <v>3016.14</v>
      </c>
      <c r="K16" s="120" t="s">
        <v>736</v>
      </c>
      <c r="L16" s="119" t="s">
        <v>672</v>
      </c>
      <c r="M16" s="119"/>
      <c r="N16" s="119"/>
      <c r="O16" s="121" t="s">
        <v>698</v>
      </c>
      <c r="P16" s="121"/>
      <c r="Q16" s="9">
        <v>143.6</v>
      </c>
    </row>
    <row r="17" s="102" customFormat="1" ht="40.5" hidden="1" spans="1:18">
      <c r="A17" s="128">
        <v>15</v>
      </c>
      <c r="B17" s="129" t="s">
        <v>737</v>
      </c>
      <c r="C17" s="128" t="s">
        <v>581</v>
      </c>
      <c r="D17" s="128" t="s">
        <v>738</v>
      </c>
      <c r="E17" s="130" t="s">
        <v>357</v>
      </c>
      <c r="F17" s="128" t="s">
        <v>739</v>
      </c>
      <c r="G17" s="131" t="s">
        <v>740</v>
      </c>
      <c r="H17" s="132">
        <v>2216</v>
      </c>
      <c r="I17" s="132">
        <v>44.32</v>
      </c>
      <c r="J17" s="132">
        <v>2260.32</v>
      </c>
      <c r="K17" s="132"/>
      <c r="L17" s="132"/>
      <c r="M17" s="132"/>
      <c r="N17" s="132"/>
      <c r="O17" s="132" t="s">
        <v>698</v>
      </c>
      <c r="P17" s="132"/>
      <c r="Q17" s="133">
        <v>406.586</v>
      </c>
      <c r="R17" s="102" t="s">
        <v>741</v>
      </c>
    </row>
    <row r="18" s="102" customFormat="1" ht="40.5" hidden="1" spans="1:18">
      <c r="A18" s="128">
        <v>16</v>
      </c>
      <c r="B18" s="129" t="s">
        <v>742</v>
      </c>
      <c r="C18" s="128" t="s">
        <v>581</v>
      </c>
      <c r="D18" s="128" t="s">
        <v>743</v>
      </c>
      <c r="E18" s="130" t="s">
        <v>357</v>
      </c>
      <c r="F18" s="128" t="s">
        <v>744</v>
      </c>
      <c r="G18" s="131" t="s">
        <v>740</v>
      </c>
      <c r="H18" s="132">
        <v>2481</v>
      </c>
      <c r="I18" s="132">
        <v>49.62</v>
      </c>
      <c r="J18" s="132">
        <v>2530.62</v>
      </c>
      <c r="K18" s="132"/>
      <c r="L18" s="132"/>
      <c r="M18" s="132"/>
      <c r="N18" s="132"/>
      <c r="O18" s="132" t="s">
        <v>698</v>
      </c>
      <c r="P18" s="132"/>
      <c r="Q18" s="133">
        <v>330.231</v>
      </c>
      <c r="R18" s="102" t="s">
        <v>741</v>
      </c>
    </row>
    <row r="19" ht="40.5" spans="1:18">
      <c r="A19" s="7">
        <v>17</v>
      </c>
      <c r="B19" s="118" t="s">
        <v>745</v>
      </c>
      <c r="C19" s="7" t="s">
        <v>396</v>
      </c>
      <c r="D19" s="7" t="s">
        <v>397</v>
      </c>
      <c r="E19" s="12" t="s">
        <v>390</v>
      </c>
      <c r="F19" s="7" t="s">
        <v>746</v>
      </c>
      <c r="G19" s="17" t="s">
        <v>747</v>
      </c>
      <c r="H19" s="119">
        <v>876</v>
      </c>
      <c r="I19" s="119">
        <v>17.52</v>
      </c>
      <c r="J19" s="119">
        <v>893.52</v>
      </c>
      <c r="K19" s="120" t="s">
        <v>748</v>
      </c>
      <c r="L19" s="119" t="s">
        <v>672</v>
      </c>
      <c r="M19" s="119"/>
      <c r="N19" s="119"/>
      <c r="O19" s="121" t="s">
        <v>673</v>
      </c>
      <c r="P19" s="121" t="s">
        <v>749</v>
      </c>
      <c r="Q19" s="9">
        <v>5743.1045</v>
      </c>
    </row>
    <row r="20" s="102" customFormat="1" ht="40.5" hidden="1" spans="1:18">
      <c r="A20" s="128">
        <v>18</v>
      </c>
      <c r="B20" s="129" t="s">
        <v>750</v>
      </c>
      <c r="C20" s="128" t="s">
        <v>751</v>
      </c>
      <c r="D20" s="128" t="s">
        <v>752</v>
      </c>
      <c r="E20" s="130" t="s">
        <v>390</v>
      </c>
      <c r="F20" s="128" t="s">
        <v>753</v>
      </c>
      <c r="G20" s="131" t="s">
        <v>754</v>
      </c>
      <c r="H20" s="132">
        <v>500</v>
      </c>
      <c r="I20" s="132">
        <v>10</v>
      </c>
      <c r="J20" s="132">
        <v>510</v>
      </c>
      <c r="K20" s="132"/>
      <c r="L20" s="132"/>
      <c r="M20" s="132"/>
      <c r="N20" s="132"/>
      <c r="O20" s="132" t="s">
        <v>698</v>
      </c>
      <c r="P20" s="132"/>
      <c r="Q20" s="133">
        <v>21.1</v>
      </c>
      <c r="R20" s="102" t="s">
        <v>755</v>
      </c>
    </row>
    <row r="21" s="101" customFormat="1" ht="27" hidden="1" spans="1:18">
      <c r="A21" s="122">
        <v>19</v>
      </c>
      <c r="B21" s="123" t="s">
        <v>756</v>
      </c>
      <c r="C21" s="122" t="s">
        <v>751</v>
      </c>
      <c r="D21" s="122" t="s">
        <v>757</v>
      </c>
      <c r="E21" s="124" t="s">
        <v>390</v>
      </c>
      <c r="F21" s="122" t="s">
        <v>758</v>
      </c>
      <c r="G21" s="125" t="s">
        <v>759</v>
      </c>
      <c r="H21" s="121">
        <v>844</v>
      </c>
      <c r="I21" s="121">
        <v>16.88</v>
      </c>
      <c r="J21" s="121">
        <v>860.88</v>
      </c>
      <c r="K21" s="121"/>
      <c r="L21" s="121"/>
      <c r="M21" s="121"/>
      <c r="N21" s="121"/>
      <c r="O21" s="121" t="s">
        <v>723</v>
      </c>
      <c r="P21" s="121"/>
      <c r="Q21" s="21">
        <v>6.27</v>
      </c>
    </row>
    <row r="22" s="101" customFormat="1" ht="40.5" hidden="1" spans="1:18">
      <c r="A22" s="122">
        <v>20</v>
      </c>
      <c r="B22" s="123" t="s">
        <v>760</v>
      </c>
      <c r="C22" s="122" t="s">
        <v>761</v>
      </c>
      <c r="D22" s="122" t="s">
        <v>762</v>
      </c>
      <c r="E22" s="124" t="s">
        <v>763</v>
      </c>
      <c r="F22" s="122" t="s">
        <v>764</v>
      </c>
      <c r="G22" s="125" t="s">
        <v>765</v>
      </c>
      <c r="H22" s="124">
        <v>446.25</v>
      </c>
      <c r="I22" s="124">
        <v>17.85</v>
      </c>
      <c r="J22" s="124">
        <v>464.1</v>
      </c>
      <c r="K22" s="124"/>
      <c r="L22" s="124"/>
      <c r="M22" s="124"/>
      <c r="N22" s="124"/>
      <c r="O22" s="121" t="s">
        <v>723</v>
      </c>
      <c r="P22" s="121"/>
      <c r="Q22" s="21">
        <v>0</v>
      </c>
    </row>
    <row r="23" s="101" customFormat="1" ht="40.5" hidden="1" spans="1:18">
      <c r="A23" s="122">
        <v>21</v>
      </c>
      <c r="B23" s="123" t="s">
        <v>766</v>
      </c>
      <c r="C23" s="122" t="s">
        <v>767</v>
      </c>
      <c r="D23" s="122" t="s">
        <v>768</v>
      </c>
      <c r="E23" s="124" t="s">
        <v>763</v>
      </c>
      <c r="F23" s="122" t="s">
        <v>769</v>
      </c>
      <c r="G23" s="125" t="s">
        <v>765</v>
      </c>
      <c r="H23" s="124">
        <v>892.25</v>
      </c>
      <c r="I23" s="124">
        <v>35.69</v>
      </c>
      <c r="J23" s="124">
        <v>927.94</v>
      </c>
      <c r="K23" s="124"/>
      <c r="L23" s="124"/>
      <c r="M23" s="124"/>
      <c r="N23" s="124"/>
      <c r="O23" s="121" t="s">
        <v>723</v>
      </c>
      <c r="P23" s="127" t="s">
        <v>724</v>
      </c>
      <c r="Q23" s="21">
        <v>6.62</v>
      </c>
    </row>
    <row r="24" s="101" customFormat="1" ht="40.5" hidden="1" spans="1:18">
      <c r="A24" s="122">
        <v>22</v>
      </c>
      <c r="B24" s="123" t="s">
        <v>770</v>
      </c>
      <c r="C24" s="122" t="s">
        <v>767</v>
      </c>
      <c r="D24" s="122" t="s">
        <v>771</v>
      </c>
      <c r="E24" s="124" t="s">
        <v>763</v>
      </c>
      <c r="F24" s="122" t="s">
        <v>772</v>
      </c>
      <c r="G24" s="125" t="s">
        <v>773</v>
      </c>
      <c r="H24" s="124">
        <v>2676.75</v>
      </c>
      <c r="I24" s="124">
        <v>53.54</v>
      </c>
      <c r="J24" s="124">
        <v>2730.29</v>
      </c>
      <c r="K24" s="124"/>
      <c r="L24" s="124"/>
      <c r="M24" s="124"/>
      <c r="N24" s="124"/>
      <c r="O24" s="121" t="s">
        <v>723</v>
      </c>
      <c r="P24" s="127" t="s">
        <v>724</v>
      </c>
      <c r="Q24" s="21">
        <v>0</v>
      </c>
    </row>
    <row r="25" s="101" customFormat="1" ht="54" hidden="1" spans="1:18">
      <c r="A25" s="122">
        <v>23</v>
      </c>
      <c r="B25" s="123" t="s">
        <v>774</v>
      </c>
      <c r="C25" s="122" t="s">
        <v>775</v>
      </c>
      <c r="D25" s="122"/>
      <c r="E25" s="124" t="s">
        <v>390</v>
      </c>
      <c r="F25" s="122" t="s">
        <v>776</v>
      </c>
      <c r="G25" s="125" t="s">
        <v>777</v>
      </c>
      <c r="H25" s="121">
        <v>3099</v>
      </c>
      <c r="I25" s="121">
        <v>61.98</v>
      </c>
      <c r="J25" s="121">
        <v>3160.98</v>
      </c>
      <c r="K25" s="121"/>
      <c r="L25" s="121"/>
      <c r="M25" s="121"/>
      <c r="N25" s="121"/>
      <c r="O25" s="121" t="s">
        <v>723</v>
      </c>
      <c r="P25" s="121" t="s">
        <v>778</v>
      </c>
      <c r="Q25" s="21">
        <v>0</v>
      </c>
    </row>
    <row r="26" ht="54" spans="1:18">
      <c r="A26" s="7">
        <v>24</v>
      </c>
      <c r="B26" s="118" t="s">
        <v>779</v>
      </c>
      <c r="C26" s="7" t="s">
        <v>780</v>
      </c>
      <c r="D26" s="7" t="s">
        <v>781</v>
      </c>
      <c r="E26" s="12" t="s">
        <v>357</v>
      </c>
      <c r="F26" s="7" t="s">
        <v>782</v>
      </c>
      <c r="G26" s="17" t="s">
        <v>783</v>
      </c>
      <c r="H26" s="119">
        <v>390</v>
      </c>
      <c r="I26" s="119">
        <v>7.8</v>
      </c>
      <c r="J26" s="119">
        <v>397.8</v>
      </c>
      <c r="K26" s="120" t="s">
        <v>784</v>
      </c>
      <c r="L26" s="119" t="s">
        <v>683</v>
      </c>
      <c r="M26" s="119"/>
      <c r="N26" s="119"/>
      <c r="O26" s="121" t="s">
        <v>698</v>
      </c>
      <c r="P26" s="121"/>
      <c r="Q26" s="9">
        <v>1739.568</v>
      </c>
    </row>
    <row r="27" ht="27" spans="1:18">
      <c r="A27" s="7">
        <v>25</v>
      </c>
      <c r="B27" s="118" t="s">
        <v>785</v>
      </c>
      <c r="C27" s="7" t="s">
        <v>786</v>
      </c>
      <c r="D27" s="7" t="s">
        <v>787</v>
      </c>
      <c r="E27" s="12" t="s">
        <v>357</v>
      </c>
      <c r="F27" s="7" t="s">
        <v>788</v>
      </c>
      <c r="G27" s="17" t="s">
        <v>789</v>
      </c>
      <c r="H27" s="119">
        <v>60</v>
      </c>
      <c r="I27" s="119">
        <v>1.2</v>
      </c>
      <c r="J27" s="119">
        <v>61.2</v>
      </c>
      <c r="K27" s="120" t="s">
        <v>784</v>
      </c>
      <c r="L27" s="119" t="s">
        <v>683</v>
      </c>
      <c r="M27" s="119"/>
      <c r="N27" s="119"/>
      <c r="O27" s="121" t="s">
        <v>717</v>
      </c>
      <c r="P27" s="121" t="s">
        <v>790</v>
      </c>
      <c r="Q27" s="9">
        <v>570.476</v>
      </c>
    </row>
    <row r="28" ht="40.5" spans="1:18">
      <c r="A28" s="7">
        <v>26</v>
      </c>
      <c r="B28" s="118" t="s">
        <v>791</v>
      </c>
      <c r="C28" s="7" t="s">
        <v>408</v>
      </c>
      <c r="D28" s="7"/>
      <c r="E28" s="12" t="s">
        <v>357</v>
      </c>
      <c r="F28" s="7" t="s">
        <v>792</v>
      </c>
      <c r="G28" s="17" t="s">
        <v>409</v>
      </c>
      <c r="H28" s="119">
        <v>570</v>
      </c>
      <c r="I28" s="119">
        <v>11.4</v>
      </c>
      <c r="J28" s="119">
        <v>581.4</v>
      </c>
      <c r="K28" s="120" t="s">
        <v>793</v>
      </c>
      <c r="L28" s="119" t="s">
        <v>729</v>
      </c>
      <c r="M28" s="119"/>
      <c r="N28" s="119"/>
      <c r="O28" s="121" t="s">
        <v>698</v>
      </c>
      <c r="P28" s="121"/>
      <c r="Q28" s="9">
        <v>910.51</v>
      </c>
    </row>
    <row r="29" ht="54" spans="1:18">
      <c r="A29" s="7">
        <v>27</v>
      </c>
      <c r="B29" s="118" t="s">
        <v>794</v>
      </c>
      <c r="C29" s="7" t="s">
        <v>411</v>
      </c>
      <c r="D29" s="7"/>
      <c r="E29" s="12" t="s">
        <v>412</v>
      </c>
      <c r="F29" s="7" t="s">
        <v>795</v>
      </c>
      <c r="G29" s="17" t="s">
        <v>796</v>
      </c>
      <c r="H29" s="119">
        <v>388</v>
      </c>
      <c r="I29" s="119">
        <v>7.76</v>
      </c>
      <c r="J29" s="119">
        <v>395.76</v>
      </c>
      <c r="K29" s="120" t="s">
        <v>797</v>
      </c>
      <c r="L29" s="119" t="s">
        <v>729</v>
      </c>
      <c r="M29" s="119"/>
      <c r="N29" s="119"/>
      <c r="O29" s="121" t="s">
        <v>698</v>
      </c>
      <c r="P29" s="121"/>
      <c r="Q29" s="9">
        <v>2748.0053</v>
      </c>
    </row>
    <row r="30" ht="40.5" spans="1:18">
      <c r="A30" s="7">
        <v>28</v>
      </c>
      <c r="B30" s="118" t="s">
        <v>798</v>
      </c>
      <c r="C30" s="7" t="s">
        <v>415</v>
      </c>
      <c r="D30" s="7"/>
      <c r="E30" s="12" t="s">
        <v>76</v>
      </c>
      <c r="F30" s="7" t="s">
        <v>799</v>
      </c>
      <c r="G30" s="17" t="s">
        <v>800</v>
      </c>
      <c r="H30" s="119">
        <v>768</v>
      </c>
      <c r="I30" s="119">
        <v>15.36</v>
      </c>
      <c r="J30" s="119">
        <v>783.36</v>
      </c>
      <c r="K30" s="120" t="s">
        <v>801</v>
      </c>
      <c r="L30" s="119" t="s">
        <v>692</v>
      </c>
      <c r="M30" s="119"/>
      <c r="N30" s="119"/>
      <c r="O30" s="121" t="s">
        <v>698</v>
      </c>
      <c r="P30" s="121"/>
      <c r="Q30" s="9">
        <v>43.23</v>
      </c>
    </row>
    <row r="31" ht="40.5" spans="1:18">
      <c r="A31" s="7">
        <v>29</v>
      </c>
      <c r="B31" s="118" t="s">
        <v>802</v>
      </c>
      <c r="C31" s="7" t="s">
        <v>803</v>
      </c>
      <c r="D31" s="7" t="s">
        <v>804</v>
      </c>
      <c r="E31" s="134" t="s">
        <v>18</v>
      </c>
      <c r="F31" s="7" t="s">
        <v>805</v>
      </c>
      <c r="G31" s="17" t="s">
        <v>806</v>
      </c>
      <c r="H31" s="119">
        <v>4801</v>
      </c>
      <c r="I31" s="119">
        <v>96.02</v>
      </c>
      <c r="J31" s="119">
        <v>4897.02</v>
      </c>
      <c r="K31" s="120" t="s">
        <v>807</v>
      </c>
      <c r="L31" s="119" t="s">
        <v>692</v>
      </c>
      <c r="M31" s="119"/>
      <c r="N31" s="119"/>
      <c r="O31" s="121" t="s">
        <v>698</v>
      </c>
      <c r="P31" s="121"/>
      <c r="Q31" s="9">
        <v>1816</v>
      </c>
    </row>
    <row r="32" s="101" customFormat="1" ht="27" hidden="1" spans="1:18">
      <c r="A32" s="122">
        <v>30</v>
      </c>
      <c r="B32" s="123" t="s">
        <v>808</v>
      </c>
      <c r="C32" s="122" t="s">
        <v>803</v>
      </c>
      <c r="D32" s="122" t="s">
        <v>809</v>
      </c>
      <c r="E32" s="135" t="s">
        <v>18</v>
      </c>
      <c r="F32" s="122" t="s">
        <v>810</v>
      </c>
      <c r="G32" s="125" t="s">
        <v>811</v>
      </c>
      <c r="H32" s="121">
        <v>6796</v>
      </c>
      <c r="I32" s="121">
        <v>135.92</v>
      </c>
      <c r="J32" s="121">
        <v>6931.92</v>
      </c>
      <c r="K32" s="121"/>
      <c r="L32" s="121"/>
      <c r="M32" s="121"/>
      <c r="N32" s="121"/>
      <c r="O32" s="121" t="s">
        <v>723</v>
      </c>
      <c r="P32" s="121"/>
      <c r="Q32" s="21">
        <v>5</v>
      </c>
    </row>
    <row r="33" ht="40.5" spans="1:18">
      <c r="A33" s="7">
        <v>31</v>
      </c>
      <c r="B33" s="118" t="s">
        <v>812</v>
      </c>
      <c r="C33" s="7" t="s">
        <v>803</v>
      </c>
      <c r="D33" s="7" t="s">
        <v>813</v>
      </c>
      <c r="E33" s="134" t="s">
        <v>18</v>
      </c>
      <c r="F33" s="7" t="s">
        <v>814</v>
      </c>
      <c r="G33" s="17" t="s">
        <v>815</v>
      </c>
      <c r="H33" s="119">
        <v>2492</v>
      </c>
      <c r="I33" s="119">
        <v>58.26</v>
      </c>
      <c r="J33" s="119">
        <v>2550.26</v>
      </c>
      <c r="K33" s="120" t="s">
        <v>816</v>
      </c>
      <c r="L33" s="119" t="s">
        <v>703</v>
      </c>
      <c r="M33" s="119"/>
      <c r="N33" s="119"/>
      <c r="O33" s="121" t="s">
        <v>717</v>
      </c>
      <c r="P33" s="121" t="s">
        <v>817</v>
      </c>
      <c r="Q33" s="9">
        <v>1292.9999</v>
      </c>
    </row>
    <row r="34" ht="27" spans="1:18">
      <c r="A34" s="7">
        <v>32</v>
      </c>
      <c r="B34" s="118" t="s">
        <v>818</v>
      </c>
      <c r="C34" s="7" t="s">
        <v>418</v>
      </c>
      <c r="D34" s="7"/>
      <c r="E34" s="12" t="s">
        <v>73</v>
      </c>
      <c r="F34" s="7" t="s">
        <v>819</v>
      </c>
      <c r="G34" s="17" t="s">
        <v>419</v>
      </c>
      <c r="H34" s="119">
        <v>1670</v>
      </c>
      <c r="I34" s="119">
        <v>49.04</v>
      </c>
      <c r="J34" s="119">
        <v>1719.04</v>
      </c>
      <c r="K34" s="120" t="s">
        <v>820</v>
      </c>
      <c r="L34" s="119" t="s">
        <v>703</v>
      </c>
      <c r="M34" s="119"/>
      <c r="N34" s="119"/>
      <c r="O34" s="121" t="s">
        <v>698</v>
      </c>
      <c r="P34" s="121"/>
      <c r="Q34" s="9">
        <v>133</v>
      </c>
    </row>
    <row r="35" ht="40.5" spans="1:18">
      <c r="A35" s="7">
        <v>33</v>
      </c>
      <c r="B35" s="118" t="s">
        <v>821</v>
      </c>
      <c r="C35" s="7" t="s">
        <v>421</v>
      </c>
      <c r="D35" s="7"/>
      <c r="E35" s="12" t="s">
        <v>357</v>
      </c>
      <c r="F35" s="7" t="s">
        <v>822</v>
      </c>
      <c r="G35" s="17" t="s">
        <v>823</v>
      </c>
      <c r="H35" s="119">
        <v>1368</v>
      </c>
      <c r="I35" s="119">
        <v>27.36</v>
      </c>
      <c r="J35" s="119">
        <v>1395.36</v>
      </c>
      <c r="K35" s="120" t="s">
        <v>824</v>
      </c>
      <c r="L35" s="119" t="s">
        <v>672</v>
      </c>
      <c r="M35" s="119"/>
      <c r="N35" s="119"/>
      <c r="O35" s="121" t="s">
        <v>698</v>
      </c>
      <c r="P35" s="121"/>
      <c r="Q35" s="9">
        <v>70.3251</v>
      </c>
    </row>
    <row r="36" ht="40.5" spans="1:18">
      <c r="A36" s="7">
        <v>34</v>
      </c>
      <c r="B36" s="118" t="s">
        <v>825</v>
      </c>
      <c r="C36" s="7" t="s">
        <v>424</v>
      </c>
      <c r="D36" s="7"/>
      <c r="E36" s="12" t="s">
        <v>390</v>
      </c>
      <c r="F36" s="7" t="s">
        <v>826</v>
      </c>
      <c r="G36" s="17" t="s">
        <v>827</v>
      </c>
      <c r="H36" s="119">
        <v>57</v>
      </c>
      <c r="I36" s="119">
        <v>1.14</v>
      </c>
      <c r="J36" s="119">
        <v>58.14</v>
      </c>
      <c r="K36" s="120" t="s">
        <v>828</v>
      </c>
      <c r="L36" s="119" t="s">
        <v>672</v>
      </c>
      <c r="M36" s="119"/>
      <c r="N36" s="119"/>
      <c r="O36" s="121" t="s">
        <v>698</v>
      </c>
      <c r="P36" s="121"/>
      <c r="Q36" s="9">
        <v>430.495</v>
      </c>
    </row>
    <row r="37" s="101" customFormat="1" hidden="1" spans="1:18">
      <c r="A37" s="122">
        <v>35</v>
      </c>
      <c r="B37" s="123" t="s">
        <v>829</v>
      </c>
      <c r="C37" s="122" t="s">
        <v>830</v>
      </c>
      <c r="D37" s="122"/>
      <c r="E37" s="124" t="s">
        <v>73</v>
      </c>
      <c r="F37" s="122" t="s">
        <v>831</v>
      </c>
      <c r="G37" s="125" t="s">
        <v>832</v>
      </c>
      <c r="H37" s="121">
        <v>485</v>
      </c>
      <c r="I37" s="121">
        <v>9.7</v>
      </c>
      <c r="J37" s="121">
        <v>494.7</v>
      </c>
      <c r="K37" s="121"/>
      <c r="L37" s="121"/>
      <c r="M37" s="121"/>
      <c r="N37" s="121"/>
      <c r="O37" s="121" t="s">
        <v>723</v>
      </c>
      <c r="P37" s="121" t="s">
        <v>778</v>
      </c>
      <c r="Q37" s="21">
        <v>0</v>
      </c>
    </row>
    <row r="38" ht="54" spans="1:18">
      <c r="A38" s="7">
        <v>36</v>
      </c>
      <c r="B38" s="118" t="s">
        <v>833</v>
      </c>
      <c r="C38" s="7" t="s">
        <v>427</v>
      </c>
      <c r="D38" s="7"/>
      <c r="E38" s="12" t="s">
        <v>390</v>
      </c>
      <c r="F38" s="7" t="s">
        <v>834</v>
      </c>
      <c r="G38" s="17" t="s">
        <v>835</v>
      </c>
      <c r="H38" s="119">
        <v>310</v>
      </c>
      <c r="I38" s="119">
        <v>6.2</v>
      </c>
      <c r="J38" s="119">
        <v>316.2</v>
      </c>
      <c r="K38" s="120" t="s">
        <v>836</v>
      </c>
      <c r="L38" s="119" t="s">
        <v>683</v>
      </c>
      <c r="M38" s="119"/>
      <c r="N38" s="119"/>
      <c r="O38" s="121" t="s">
        <v>698</v>
      </c>
      <c r="P38" s="121"/>
      <c r="Q38" s="9">
        <v>47.435</v>
      </c>
    </row>
    <row r="39" ht="40.5" spans="1:18">
      <c r="A39" s="7">
        <v>37</v>
      </c>
      <c r="B39" s="118" t="s">
        <v>837</v>
      </c>
      <c r="C39" s="7" t="s">
        <v>430</v>
      </c>
      <c r="D39" s="7"/>
      <c r="E39" s="12" t="s">
        <v>76</v>
      </c>
      <c r="F39" s="7" t="s">
        <v>838</v>
      </c>
      <c r="G39" s="17" t="s">
        <v>839</v>
      </c>
      <c r="H39" s="119">
        <v>94</v>
      </c>
      <c r="I39" s="119">
        <v>1.88</v>
      </c>
      <c r="J39" s="119">
        <v>95.88</v>
      </c>
      <c r="K39" s="120" t="s">
        <v>840</v>
      </c>
      <c r="L39" s="119" t="s">
        <v>683</v>
      </c>
      <c r="M39" s="119"/>
      <c r="N39" s="119"/>
      <c r="O39" s="121" t="s">
        <v>698</v>
      </c>
      <c r="P39" s="121"/>
      <c r="Q39" s="9">
        <v>203.2</v>
      </c>
    </row>
    <row r="40" ht="40.5" spans="1:18">
      <c r="A40" s="7">
        <v>38</v>
      </c>
      <c r="B40" s="118" t="s">
        <v>841</v>
      </c>
      <c r="C40" s="7" t="s">
        <v>433</v>
      </c>
      <c r="D40" s="7"/>
      <c r="E40" s="12" t="s">
        <v>76</v>
      </c>
      <c r="F40" s="7" t="s">
        <v>842</v>
      </c>
      <c r="G40" s="17" t="s">
        <v>843</v>
      </c>
      <c r="H40" s="119">
        <v>508</v>
      </c>
      <c r="I40" s="119">
        <v>10.16</v>
      </c>
      <c r="J40" s="119">
        <v>518.16</v>
      </c>
      <c r="K40" s="120" t="s">
        <v>844</v>
      </c>
      <c r="L40" s="119" t="s">
        <v>729</v>
      </c>
      <c r="M40" s="119"/>
      <c r="N40" s="119"/>
      <c r="O40" s="121" t="s">
        <v>698</v>
      </c>
      <c r="P40" s="121"/>
      <c r="Q40" s="9">
        <v>679.6698</v>
      </c>
    </row>
    <row r="41" s="101" customFormat="1" hidden="1" spans="1:18">
      <c r="A41" s="122">
        <v>39</v>
      </c>
      <c r="B41" s="123" t="s">
        <v>845</v>
      </c>
      <c r="C41" s="122" t="s">
        <v>846</v>
      </c>
      <c r="D41" s="122"/>
      <c r="E41" s="124" t="s">
        <v>357</v>
      </c>
      <c r="F41" s="122" t="s">
        <v>847</v>
      </c>
      <c r="G41" s="125" t="s">
        <v>848</v>
      </c>
      <c r="H41" s="121">
        <v>1596</v>
      </c>
      <c r="I41" s="121">
        <v>31.92</v>
      </c>
      <c r="J41" s="121">
        <v>1627.92</v>
      </c>
      <c r="K41" s="121"/>
      <c r="L41" s="121"/>
      <c r="M41" s="121"/>
      <c r="N41" s="121"/>
      <c r="O41" s="121" t="s">
        <v>723</v>
      </c>
      <c r="P41" s="121" t="s">
        <v>778</v>
      </c>
      <c r="Q41" s="21">
        <v>0</v>
      </c>
    </row>
    <row r="42" s="101" customFormat="1" hidden="1" spans="1:18">
      <c r="A42" s="122">
        <v>40</v>
      </c>
      <c r="B42" s="123" t="s">
        <v>849</v>
      </c>
      <c r="C42" s="122" t="s">
        <v>850</v>
      </c>
      <c r="D42" s="122"/>
      <c r="E42" s="124" t="s">
        <v>73</v>
      </c>
      <c r="F42" s="122" t="s">
        <v>851</v>
      </c>
      <c r="G42" s="125" t="s">
        <v>74</v>
      </c>
      <c r="H42" s="121">
        <v>339</v>
      </c>
      <c r="I42" s="121">
        <v>6.78</v>
      </c>
      <c r="J42" s="121">
        <v>345.78</v>
      </c>
      <c r="K42" s="121"/>
      <c r="L42" s="121"/>
      <c r="M42" s="121"/>
      <c r="N42" s="121"/>
      <c r="O42" s="121" t="s">
        <v>723</v>
      </c>
      <c r="P42" s="121"/>
      <c r="Q42" s="21">
        <v>4</v>
      </c>
    </row>
    <row r="43" s="103" customFormat="1" hidden="1" spans="1:18">
      <c r="A43" s="136">
        <v>41</v>
      </c>
      <c r="B43" s="137" t="s">
        <v>852</v>
      </c>
      <c r="C43" s="136" t="s">
        <v>519</v>
      </c>
      <c r="D43" s="136"/>
      <c r="E43" s="138" t="s">
        <v>76</v>
      </c>
      <c r="F43" s="136" t="s">
        <v>853</v>
      </c>
      <c r="G43" s="139" t="s">
        <v>854</v>
      </c>
      <c r="H43" s="140">
        <v>145</v>
      </c>
      <c r="I43" s="140">
        <v>2.9</v>
      </c>
      <c r="J43" s="140">
        <v>147.9</v>
      </c>
      <c r="K43" s="140"/>
      <c r="L43" s="140"/>
      <c r="M43" s="140"/>
      <c r="N43" s="140"/>
      <c r="O43" s="140" t="s">
        <v>698</v>
      </c>
      <c r="P43" s="140"/>
      <c r="Q43" s="69">
        <v>20.1</v>
      </c>
      <c r="R43" s="103" t="s">
        <v>855</v>
      </c>
    </row>
    <row r="44" s="103" customFormat="1" hidden="1" spans="1:18">
      <c r="A44" s="136">
        <v>42</v>
      </c>
      <c r="B44" s="137" t="s">
        <v>856</v>
      </c>
      <c r="C44" s="136" t="s">
        <v>522</v>
      </c>
      <c r="D44" s="136"/>
      <c r="E44" s="138" t="s">
        <v>76</v>
      </c>
      <c r="F44" s="136" t="s">
        <v>857</v>
      </c>
      <c r="G44" s="139" t="s">
        <v>854</v>
      </c>
      <c r="H44" s="140">
        <v>112</v>
      </c>
      <c r="I44" s="140">
        <v>2.24</v>
      </c>
      <c r="J44" s="140">
        <v>114.24</v>
      </c>
      <c r="K44" s="140"/>
      <c r="L44" s="140"/>
      <c r="M44" s="140"/>
      <c r="N44" s="140"/>
      <c r="O44" s="140" t="s">
        <v>698</v>
      </c>
      <c r="P44" s="140"/>
      <c r="Q44" s="69">
        <v>690.9</v>
      </c>
      <c r="R44" s="103" t="s">
        <v>855</v>
      </c>
    </row>
    <row r="45" s="101" customFormat="1" hidden="1" spans="1:18">
      <c r="A45" s="122">
        <v>43</v>
      </c>
      <c r="B45" s="123" t="s">
        <v>858</v>
      </c>
      <c r="C45" s="122" t="s">
        <v>859</v>
      </c>
      <c r="D45" s="122"/>
      <c r="E45" s="124" t="s">
        <v>73</v>
      </c>
      <c r="F45" s="122" t="s">
        <v>860</v>
      </c>
      <c r="G45" s="125" t="s">
        <v>80</v>
      </c>
      <c r="H45" s="121">
        <v>543</v>
      </c>
      <c r="I45" s="121">
        <v>10.86</v>
      </c>
      <c r="J45" s="121">
        <v>553.86</v>
      </c>
      <c r="K45" s="121"/>
      <c r="L45" s="121"/>
      <c r="M45" s="121"/>
      <c r="N45" s="121"/>
      <c r="O45" s="121" t="s">
        <v>723</v>
      </c>
      <c r="P45" s="121"/>
      <c r="Q45" s="21">
        <v>8</v>
      </c>
    </row>
    <row r="46" s="101" customFormat="1" hidden="1" spans="1:18">
      <c r="A46" s="122">
        <v>44</v>
      </c>
      <c r="B46" s="123" t="s">
        <v>861</v>
      </c>
      <c r="C46" s="122" t="s">
        <v>862</v>
      </c>
      <c r="D46" s="122"/>
      <c r="E46" s="124" t="s">
        <v>357</v>
      </c>
      <c r="F46" s="122" t="s">
        <v>863</v>
      </c>
      <c r="G46" s="125" t="s">
        <v>864</v>
      </c>
      <c r="H46" s="121">
        <v>2460</v>
      </c>
      <c r="I46" s="121">
        <v>49.2</v>
      </c>
      <c r="J46" s="121">
        <v>2509.2</v>
      </c>
      <c r="K46" s="121"/>
      <c r="L46" s="121"/>
      <c r="M46" s="121"/>
      <c r="N46" s="121"/>
      <c r="O46" s="121" t="s">
        <v>723</v>
      </c>
      <c r="P46" s="121"/>
      <c r="Q46" s="21">
        <v>1.6</v>
      </c>
    </row>
    <row r="47" s="101" customFormat="1" hidden="1" spans="1:18">
      <c r="A47" s="122">
        <v>45</v>
      </c>
      <c r="B47" s="123" t="s">
        <v>865</v>
      </c>
      <c r="C47" s="122" t="s">
        <v>866</v>
      </c>
      <c r="D47" s="122" t="s">
        <v>846</v>
      </c>
      <c r="E47" s="124" t="s">
        <v>357</v>
      </c>
      <c r="F47" s="122" t="s">
        <v>867</v>
      </c>
      <c r="G47" s="125" t="s">
        <v>868</v>
      </c>
      <c r="H47" s="121">
        <v>60</v>
      </c>
      <c r="I47" s="121">
        <v>1.2</v>
      </c>
      <c r="J47" s="121">
        <v>61.2</v>
      </c>
      <c r="K47" s="121"/>
      <c r="L47" s="121"/>
      <c r="M47" s="121"/>
      <c r="N47" s="121"/>
      <c r="O47" s="121" t="s">
        <v>723</v>
      </c>
      <c r="P47" s="121" t="s">
        <v>778</v>
      </c>
      <c r="Q47" s="21">
        <v>0</v>
      </c>
    </row>
    <row r="48" s="101" customFormat="1" ht="27" hidden="1" spans="1:18">
      <c r="A48" s="122">
        <v>46</v>
      </c>
      <c r="B48" s="123" t="s">
        <v>869</v>
      </c>
      <c r="C48" s="122" t="s">
        <v>870</v>
      </c>
      <c r="D48" s="122"/>
      <c r="E48" s="124" t="s">
        <v>18</v>
      </c>
      <c r="F48" s="122" t="s">
        <v>871</v>
      </c>
      <c r="G48" s="125" t="s">
        <v>872</v>
      </c>
      <c r="H48" s="121">
        <v>2913</v>
      </c>
      <c r="I48" s="121">
        <v>58.26</v>
      </c>
      <c r="J48" s="121">
        <v>2971.26</v>
      </c>
      <c r="K48" s="121"/>
      <c r="L48" s="121"/>
      <c r="M48" s="121"/>
      <c r="N48" s="121"/>
      <c r="O48" s="121" t="s">
        <v>723</v>
      </c>
      <c r="P48" s="121" t="s">
        <v>778</v>
      </c>
      <c r="Q48" s="21">
        <v>0</v>
      </c>
    </row>
    <row r="49" ht="54" spans="1:18">
      <c r="A49" s="7">
        <v>47</v>
      </c>
      <c r="B49" s="118" t="s">
        <v>873</v>
      </c>
      <c r="C49" s="7" t="s">
        <v>874</v>
      </c>
      <c r="D49" s="7" t="s">
        <v>436</v>
      </c>
      <c r="E49" s="12" t="s">
        <v>76</v>
      </c>
      <c r="F49" s="7" t="s">
        <v>875</v>
      </c>
      <c r="G49" s="17" t="s">
        <v>437</v>
      </c>
      <c r="H49" s="119">
        <v>27</v>
      </c>
      <c r="I49" s="119">
        <v>0.54</v>
      </c>
      <c r="J49" s="119">
        <v>27.54</v>
      </c>
      <c r="K49" s="120" t="s">
        <v>876</v>
      </c>
      <c r="L49" s="119" t="s">
        <v>692</v>
      </c>
      <c r="M49" s="119"/>
      <c r="N49" s="119"/>
      <c r="O49" s="121" t="s">
        <v>698</v>
      </c>
      <c r="P49" s="121"/>
      <c r="Q49" s="9">
        <v>4125.59</v>
      </c>
    </row>
    <row r="50" ht="54" spans="1:18">
      <c r="A50" s="7">
        <v>48</v>
      </c>
      <c r="B50" s="118" t="s">
        <v>877</v>
      </c>
      <c r="C50" s="7" t="s">
        <v>874</v>
      </c>
      <c r="D50" s="7" t="s">
        <v>439</v>
      </c>
      <c r="E50" s="12" t="s">
        <v>140</v>
      </c>
      <c r="F50" s="7" t="s">
        <v>878</v>
      </c>
      <c r="G50" s="17" t="s">
        <v>879</v>
      </c>
      <c r="H50" s="119">
        <v>146</v>
      </c>
      <c r="I50" s="119">
        <v>2.92</v>
      </c>
      <c r="J50" s="119">
        <v>148.92</v>
      </c>
      <c r="K50" s="120" t="s">
        <v>880</v>
      </c>
      <c r="L50" s="119" t="s">
        <v>692</v>
      </c>
      <c r="M50" s="119"/>
      <c r="N50" s="119"/>
      <c r="O50" s="121" t="s">
        <v>698</v>
      </c>
      <c r="P50" s="121"/>
      <c r="Q50" s="9">
        <v>391</v>
      </c>
    </row>
    <row r="51" s="102" customFormat="1" hidden="1" spans="1:18">
      <c r="A51" s="128">
        <v>49</v>
      </c>
      <c r="B51" s="129" t="s">
        <v>881</v>
      </c>
      <c r="C51" s="128" t="s">
        <v>882</v>
      </c>
      <c r="D51" s="128"/>
      <c r="E51" s="130" t="s">
        <v>18</v>
      </c>
      <c r="F51" s="128" t="s">
        <v>883</v>
      </c>
      <c r="G51" s="131" t="s">
        <v>884</v>
      </c>
      <c r="H51" s="132">
        <v>816</v>
      </c>
      <c r="I51" s="132">
        <v>16.32</v>
      </c>
      <c r="J51" s="132">
        <v>832.32</v>
      </c>
      <c r="K51" s="132"/>
      <c r="L51" s="132"/>
      <c r="M51" s="132"/>
      <c r="N51" s="132"/>
      <c r="O51" s="132" t="s">
        <v>698</v>
      </c>
      <c r="P51" s="132"/>
      <c r="Q51" s="133">
        <v>1</v>
      </c>
      <c r="R51" s="102" t="s">
        <v>885</v>
      </c>
    </row>
    <row r="52" s="101" customFormat="1" hidden="1" spans="1:18">
      <c r="A52" s="122">
        <v>50</v>
      </c>
      <c r="B52" s="123" t="s">
        <v>886</v>
      </c>
      <c r="C52" s="122" t="s">
        <v>887</v>
      </c>
      <c r="D52" s="122" t="s">
        <v>888</v>
      </c>
      <c r="E52" s="124" t="s">
        <v>357</v>
      </c>
      <c r="F52" s="122" t="s">
        <v>889</v>
      </c>
      <c r="G52" s="125" t="s">
        <v>890</v>
      </c>
      <c r="H52" s="121">
        <v>68</v>
      </c>
      <c r="I52" s="121">
        <v>1.36</v>
      </c>
      <c r="J52" s="121">
        <v>69.36</v>
      </c>
      <c r="K52" s="121"/>
      <c r="L52" s="121"/>
      <c r="M52" s="121"/>
      <c r="N52" s="121"/>
      <c r="O52" s="121" t="s">
        <v>723</v>
      </c>
      <c r="P52" s="121" t="s">
        <v>778</v>
      </c>
      <c r="Q52" s="21">
        <v>0</v>
      </c>
    </row>
    <row r="53" s="101" customFormat="1" hidden="1" spans="1:18">
      <c r="A53" s="122">
        <v>51</v>
      </c>
      <c r="B53" s="123" t="s">
        <v>891</v>
      </c>
      <c r="C53" s="122" t="s">
        <v>575</v>
      </c>
      <c r="D53" s="122"/>
      <c r="E53" s="124" t="s">
        <v>73</v>
      </c>
      <c r="F53" s="122" t="s">
        <v>892</v>
      </c>
      <c r="G53" s="125" t="s">
        <v>893</v>
      </c>
      <c r="H53" s="121">
        <v>1748</v>
      </c>
      <c r="I53" s="121">
        <v>34.96</v>
      </c>
      <c r="J53" s="121">
        <v>1782.96</v>
      </c>
      <c r="K53" s="121"/>
      <c r="L53" s="121"/>
      <c r="M53" s="121"/>
      <c r="N53" s="121"/>
      <c r="O53" s="121" t="s">
        <v>723</v>
      </c>
      <c r="P53" s="121"/>
      <c r="Q53" s="21">
        <v>4</v>
      </c>
    </row>
    <row r="54" ht="54" spans="1:18">
      <c r="A54" s="7">
        <v>52</v>
      </c>
      <c r="B54" s="118" t="s">
        <v>894</v>
      </c>
      <c r="C54" s="7" t="s">
        <v>442</v>
      </c>
      <c r="D54" s="7"/>
      <c r="E54" s="12" t="s">
        <v>378</v>
      </c>
      <c r="F54" s="7" t="s">
        <v>895</v>
      </c>
      <c r="G54" s="17" t="s">
        <v>896</v>
      </c>
      <c r="H54" s="119">
        <v>10680</v>
      </c>
      <c r="I54" s="119">
        <v>213.6</v>
      </c>
      <c r="J54" s="119">
        <v>10893.6</v>
      </c>
      <c r="K54" s="120" t="s">
        <v>897</v>
      </c>
      <c r="L54" s="119" t="s">
        <v>729</v>
      </c>
      <c r="M54" s="119"/>
      <c r="N54" s="119"/>
      <c r="O54" s="121" t="s">
        <v>698</v>
      </c>
      <c r="P54" s="121"/>
      <c r="Q54" s="9">
        <v>199.9802</v>
      </c>
    </row>
    <row r="55" s="101" customFormat="1" ht="27" hidden="1" spans="1:18">
      <c r="A55" s="122">
        <v>53</v>
      </c>
      <c r="B55" s="141" t="s">
        <v>898</v>
      </c>
      <c r="C55" s="142" t="s">
        <v>899</v>
      </c>
      <c r="D55" s="142" t="s">
        <v>900</v>
      </c>
      <c r="E55" s="142" t="s">
        <v>18</v>
      </c>
      <c r="F55" s="21" t="s">
        <v>901</v>
      </c>
      <c r="G55" s="125" t="s">
        <v>902</v>
      </c>
      <c r="H55" s="121">
        <v>862.98</v>
      </c>
      <c r="I55" s="143">
        <v>17.26</v>
      </c>
      <c r="J55" s="124">
        <v>880.24</v>
      </c>
      <c r="K55" s="124"/>
      <c r="L55" s="124"/>
      <c r="M55" s="124"/>
      <c r="N55" s="124"/>
      <c r="O55" s="121" t="s">
        <v>723</v>
      </c>
      <c r="P55" s="121"/>
      <c r="Q55" s="21">
        <v>3</v>
      </c>
    </row>
    <row r="56" s="101" customFormat="1" ht="40.5" hidden="1" spans="1:18">
      <c r="A56" s="122">
        <v>54</v>
      </c>
      <c r="B56" s="141" t="s">
        <v>903</v>
      </c>
      <c r="C56" s="142" t="s">
        <v>904</v>
      </c>
      <c r="D56" s="142" t="s">
        <v>905</v>
      </c>
      <c r="E56" s="124" t="s">
        <v>763</v>
      </c>
      <c r="F56" s="122" t="s">
        <v>906</v>
      </c>
      <c r="G56" s="125" t="s">
        <v>907</v>
      </c>
      <c r="H56" s="124">
        <v>196</v>
      </c>
      <c r="I56" s="124">
        <v>3.92</v>
      </c>
      <c r="J56" s="124">
        <v>199.92</v>
      </c>
      <c r="K56" s="126"/>
      <c r="L56" s="126"/>
      <c r="M56" s="126"/>
      <c r="N56" s="126"/>
      <c r="O56" s="126" t="s">
        <v>717</v>
      </c>
      <c r="P56" s="127" t="s">
        <v>718</v>
      </c>
      <c r="Q56" s="21">
        <v>45.03</v>
      </c>
    </row>
    <row r="57" s="101" customFormat="1" ht="40.5" hidden="1" spans="1:18">
      <c r="A57" s="122">
        <v>55</v>
      </c>
      <c r="B57" s="141" t="s">
        <v>908</v>
      </c>
      <c r="C57" s="142" t="s">
        <v>904</v>
      </c>
      <c r="D57" s="142" t="s">
        <v>909</v>
      </c>
      <c r="E57" s="124" t="s">
        <v>763</v>
      </c>
      <c r="F57" s="122" t="s">
        <v>910</v>
      </c>
      <c r="G57" s="125" t="s">
        <v>907</v>
      </c>
      <c r="H57" s="124">
        <v>294</v>
      </c>
      <c r="I57" s="124">
        <v>5.88</v>
      </c>
      <c r="J57" s="124">
        <v>299.88</v>
      </c>
      <c r="K57" s="124"/>
      <c r="L57" s="124"/>
      <c r="M57" s="124"/>
      <c r="N57" s="124"/>
      <c r="O57" s="121" t="s">
        <v>723</v>
      </c>
      <c r="P57" s="127" t="s">
        <v>724</v>
      </c>
      <c r="Q57" s="21">
        <v>0</v>
      </c>
    </row>
    <row r="58" ht="40.5" spans="1:18">
      <c r="A58" s="7">
        <v>56</v>
      </c>
      <c r="B58" s="20" t="s">
        <v>911</v>
      </c>
      <c r="C58" s="9" t="s">
        <v>445</v>
      </c>
      <c r="D58" s="8"/>
      <c r="E58" s="9" t="s">
        <v>140</v>
      </c>
      <c r="F58" s="8" t="s">
        <v>912</v>
      </c>
      <c r="G58" s="17" t="s">
        <v>913</v>
      </c>
      <c r="H58" s="119">
        <v>354.12</v>
      </c>
      <c r="I58" s="119">
        <v>5.31</v>
      </c>
      <c r="J58" s="119">
        <v>359.43</v>
      </c>
      <c r="K58" s="120" t="s">
        <v>914</v>
      </c>
      <c r="L58" s="119" t="s">
        <v>703</v>
      </c>
      <c r="M58" s="119"/>
      <c r="N58" s="119"/>
      <c r="O58" s="121" t="s">
        <v>717</v>
      </c>
      <c r="P58" s="121" t="s">
        <v>915</v>
      </c>
      <c r="Q58" s="9">
        <v>650</v>
      </c>
    </row>
    <row r="59" ht="67.5" spans="1:18">
      <c r="A59" s="7">
        <v>57</v>
      </c>
      <c r="B59" s="20" t="s">
        <v>916</v>
      </c>
      <c r="C59" s="9" t="s">
        <v>448</v>
      </c>
      <c r="D59" s="8"/>
      <c r="E59" s="9" t="s">
        <v>140</v>
      </c>
      <c r="F59" s="8" t="s">
        <v>917</v>
      </c>
      <c r="G59" s="17" t="s">
        <v>918</v>
      </c>
      <c r="H59" s="119">
        <v>641.12</v>
      </c>
      <c r="I59" s="119">
        <v>9.62</v>
      </c>
      <c r="J59" s="119">
        <v>650.74</v>
      </c>
      <c r="K59" s="120" t="s">
        <v>919</v>
      </c>
      <c r="L59" s="119" t="s">
        <v>703</v>
      </c>
      <c r="M59" s="119"/>
      <c r="N59" s="119"/>
      <c r="O59" s="121" t="s">
        <v>673</v>
      </c>
      <c r="P59" s="121" t="s">
        <v>920</v>
      </c>
      <c r="Q59" s="9">
        <v>4090</v>
      </c>
    </row>
    <row r="60" ht="40.5" spans="1:18">
      <c r="A60" s="7">
        <v>58</v>
      </c>
      <c r="B60" s="20" t="s">
        <v>921</v>
      </c>
      <c r="C60" s="9" t="s">
        <v>451</v>
      </c>
      <c r="D60" s="8"/>
      <c r="E60" s="9" t="s">
        <v>922</v>
      </c>
      <c r="F60" s="9" t="s">
        <v>923</v>
      </c>
      <c r="G60" s="17" t="s">
        <v>924</v>
      </c>
      <c r="H60" s="119">
        <v>1166</v>
      </c>
      <c r="I60" s="119">
        <v>46.5</v>
      </c>
      <c r="J60" s="119">
        <v>1212.5</v>
      </c>
      <c r="K60" s="120" t="s">
        <v>925</v>
      </c>
      <c r="L60" s="119" t="s">
        <v>672</v>
      </c>
      <c r="M60" s="119"/>
      <c r="N60" s="119"/>
      <c r="O60" s="121" t="s">
        <v>698</v>
      </c>
      <c r="P60" s="121"/>
      <c r="Q60" s="9">
        <v>15428.9453</v>
      </c>
    </row>
    <row r="61" ht="40.5" spans="1:18">
      <c r="A61" s="7">
        <v>59</v>
      </c>
      <c r="B61" s="20" t="s">
        <v>926</v>
      </c>
      <c r="C61" s="9" t="s">
        <v>927</v>
      </c>
      <c r="D61" s="8"/>
      <c r="E61" s="9" t="s">
        <v>922</v>
      </c>
      <c r="F61" s="9" t="s">
        <v>928</v>
      </c>
      <c r="G61" s="17" t="s">
        <v>929</v>
      </c>
      <c r="H61" s="119">
        <v>932.8</v>
      </c>
      <c r="I61" s="119">
        <v>37.2</v>
      </c>
      <c r="J61" s="119">
        <v>970</v>
      </c>
      <c r="K61" s="120" t="s">
        <v>925</v>
      </c>
      <c r="L61" s="119" t="s">
        <v>672</v>
      </c>
      <c r="M61" s="119"/>
      <c r="N61" s="119"/>
      <c r="O61" s="121" t="s">
        <v>698</v>
      </c>
      <c r="P61" s="121"/>
      <c r="Q61" s="9">
        <v>1133.7</v>
      </c>
    </row>
    <row r="62" ht="40.5" spans="1:18">
      <c r="A62" s="7">
        <v>60</v>
      </c>
      <c r="B62" s="20" t="s">
        <v>930</v>
      </c>
      <c r="C62" s="9" t="s">
        <v>457</v>
      </c>
      <c r="D62" s="8"/>
      <c r="E62" s="9" t="s">
        <v>18</v>
      </c>
      <c r="F62" s="9" t="s">
        <v>931</v>
      </c>
      <c r="G62" s="17" t="s">
        <v>932</v>
      </c>
      <c r="H62" s="119">
        <v>2641.28</v>
      </c>
      <c r="I62" s="119">
        <v>52.8256</v>
      </c>
      <c r="J62" s="119">
        <v>2694.1056</v>
      </c>
      <c r="K62" s="120" t="s">
        <v>933</v>
      </c>
      <c r="L62" s="119" t="s">
        <v>683</v>
      </c>
      <c r="M62" s="119"/>
      <c r="N62" s="119"/>
      <c r="O62" s="121" t="s">
        <v>717</v>
      </c>
      <c r="P62" s="121" t="s">
        <v>934</v>
      </c>
      <c r="Q62" s="9">
        <v>213</v>
      </c>
    </row>
    <row r="63" ht="67.5" spans="1:18">
      <c r="A63" s="7">
        <v>61</v>
      </c>
      <c r="B63" s="20" t="s">
        <v>935</v>
      </c>
      <c r="C63" s="9" t="s">
        <v>460</v>
      </c>
      <c r="D63" s="8"/>
      <c r="E63" s="9" t="s">
        <v>378</v>
      </c>
      <c r="F63" s="9" t="s">
        <v>936</v>
      </c>
      <c r="G63" s="17" t="s">
        <v>937</v>
      </c>
      <c r="H63" s="119">
        <v>13418.57</v>
      </c>
      <c r="I63" s="119">
        <v>201.43</v>
      </c>
      <c r="J63" s="119">
        <v>13620</v>
      </c>
      <c r="K63" s="120" t="s">
        <v>938</v>
      </c>
      <c r="L63" s="119" t="s">
        <v>683</v>
      </c>
      <c r="M63" s="119"/>
      <c r="N63" s="119"/>
      <c r="O63" s="121" t="s">
        <v>698</v>
      </c>
      <c r="P63" s="121"/>
      <c r="Q63" s="9">
        <v>50.2599999999999</v>
      </c>
    </row>
    <row r="64" ht="40.5" spans="1:18">
      <c r="A64" s="7">
        <v>62</v>
      </c>
      <c r="B64" s="20" t="s">
        <v>939</v>
      </c>
      <c r="C64" s="9" t="s">
        <v>463</v>
      </c>
      <c r="D64" s="8"/>
      <c r="E64" s="9" t="s">
        <v>76</v>
      </c>
      <c r="F64" s="144" t="s">
        <v>940</v>
      </c>
      <c r="G64" s="17" t="s">
        <v>941</v>
      </c>
      <c r="H64" s="145">
        <v>364.27</v>
      </c>
      <c r="I64" s="145">
        <v>5.46</v>
      </c>
      <c r="J64" s="12">
        <v>369.73</v>
      </c>
      <c r="K64" s="146" t="s">
        <v>942</v>
      </c>
      <c r="L64" s="12" t="s">
        <v>729</v>
      </c>
      <c r="M64" s="12"/>
      <c r="N64" s="12"/>
      <c r="O64" s="121" t="s">
        <v>698</v>
      </c>
      <c r="P64" s="121"/>
      <c r="Q64" s="9">
        <v>83.9995</v>
      </c>
    </row>
    <row r="65" ht="40.5" spans="1:18">
      <c r="A65" s="7">
        <v>63</v>
      </c>
      <c r="B65" s="20" t="s">
        <v>943</v>
      </c>
      <c r="C65" s="9" t="s">
        <v>466</v>
      </c>
      <c r="D65" s="8"/>
      <c r="E65" s="9" t="s">
        <v>76</v>
      </c>
      <c r="F65" s="8" t="s">
        <v>944</v>
      </c>
      <c r="G65" s="17" t="s">
        <v>945</v>
      </c>
      <c r="H65" s="119">
        <v>742.04</v>
      </c>
      <c r="I65" s="119">
        <v>11.13</v>
      </c>
      <c r="J65" s="119">
        <v>753.17</v>
      </c>
      <c r="K65" s="146" t="s">
        <v>946</v>
      </c>
      <c r="L65" s="119" t="s">
        <v>729</v>
      </c>
      <c r="M65" s="119"/>
      <c r="N65" s="119"/>
      <c r="O65" s="121" t="s">
        <v>698</v>
      </c>
      <c r="P65" s="121"/>
      <c r="Q65" s="9">
        <v>638</v>
      </c>
    </row>
    <row r="66" ht="40.5" spans="1:18">
      <c r="A66" s="7">
        <v>64</v>
      </c>
      <c r="B66" s="20" t="s">
        <v>947</v>
      </c>
      <c r="C66" s="9" t="s">
        <v>469</v>
      </c>
      <c r="D66" s="8"/>
      <c r="E66" s="9" t="s">
        <v>76</v>
      </c>
      <c r="F66" s="8" t="s">
        <v>948</v>
      </c>
      <c r="G66" s="17" t="s">
        <v>949</v>
      </c>
      <c r="H66" s="119">
        <v>291.41</v>
      </c>
      <c r="I66" s="119">
        <v>4.37</v>
      </c>
      <c r="J66" s="119">
        <v>295.78</v>
      </c>
      <c r="K66" s="120" t="s">
        <v>950</v>
      </c>
      <c r="L66" s="119" t="s">
        <v>692</v>
      </c>
      <c r="M66" s="119"/>
      <c r="N66" s="119"/>
      <c r="O66" s="121" t="s">
        <v>698</v>
      </c>
      <c r="P66" s="121"/>
      <c r="Q66" s="9">
        <v>335</v>
      </c>
    </row>
    <row r="67" ht="54" spans="1:18">
      <c r="A67" s="7">
        <v>65</v>
      </c>
      <c r="B67" s="20" t="s">
        <v>951</v>
      </c>
      <c r="C67" s="9" t="s">
        <v>472</v>
      </c>
      <c r="D67" s="8"/>
      <c r="E67" s="9" t="s">
        <v>76</v>
      </c>
      <c r="F67" s="8" t="s">
        <v>952</v>
      </c>
      <c r="G67" s="17" t="s">
        <v>953</v>
      </c>
      <c r="H67" s="119">
        <v>708.11</v>
      </c>
      <c r="I67" s="119">
        <v>5.46</v>
      </c>
      <c r="J67" s="119">
        <v>713.57</v>
      </c>
      <c r="K67" s="120" t="s">
        <v>954</v>
      </c>
      <c r="L67" s="119" t="s">
        <v>692</v>
      </c>
      <c r="M67" s="119"/>
      <c r="N67" s="119"/>
      <c r="O67" s="121" t="s">
        <v>698</v>
      </c>
      <c r="P67" s="121"/>
      <c r="Q67" s="9">
        <v>402</v>
      </c>
    </row>
    <row r="68" ht="27" spans="1:18">
      <c r="A68" s="7">
        <v>66</v>
      </c>
      <c r="B68" s="20" t="s">
        <v>955</v>
      </c>
      <c r="C68" s="9" t="s">
        <v>475</v>
      </c>
      <c r="D68" s="8"/>
      <c r="E68" s="9" t="s">
        <v>37</v>
      </c>
      <c r="F68" s="8" t="s">
        <v>956</v>
      </c>
      <c r="G68" s="17" t="s">
        <v>957</v>
      </c>
      <c r="H68" s="119">
        <v>2106.1</v>
      </c>
      <c r="I68" s="119">
        <v>106.95</v>
      </c>
      <c r="J68" s="119">
        <v>2213.05</v>
      </c>
      <c r="K68" s="120" t="s">
        <v>958</v>
      </c>
      <c r="L68" s="119" t="s">
        <v>703</v>
      </c>
      <c r="M68" s="119"/>
      <c r="N68" s="119"/>
      <c r="O68" s="121" t="s">
        <v>698</v>
      </c>
      <c r="P68" s="121"/>
      <c r="Q68" s="9">
        <v>41</v>
      </c>
    </row>
    <row r="69" ht="27" spans="1:18">
      <c r="A69" s="7">
        <v>67</v>
      </c>
      <c r="B69" s="20" t="s">
        <v>959</v>
      </c>
      <c r="C69" s="9" t="s">
        <v>478</v>
      </c>
      <c r="D69" s="8"/>
      <c r="E69" s="9" t="s">
        <v>76</v>
      </c>
      <c r="F69" s="9" t="s">
        <v>960</v>
      </c>
      <c r="G69" s="17" t="s">
        <v>961</v>
      </c>
      <c r="H69" s="119">
        <v>377.42</v>
      </c>
      <c r="I69" s="119">
        <v>5.66</v>
      </c>
      <c r="J69" s="119">
        <v>383.08</v>
      </c>
      <c r="K69" s="120" t="s">
        <v>962</v>
      </c>
      <c r="L69" s="119" t="s">
        <v>703</v>
      </c>
      <c r="M69" s="119"/>
      <c r="N69" s="119"/>
      <c r="O69" s="121" t="s">
        <v>698</v>
      </c>
      <c r="P69" s="121"/>
      <c r="Q69" s="9">
        <v>98.6</v>
      </c>
    </row>
    <row r="70" ht="40.5" spans="1:18">
      <c r="A70" s="7">
        <v>68</v>
      </c>
      <c r="B70" s="20" t="s">
        <v>963</v>
      </c>
      <c r="C70" s="9" t="s">
        <v>481</v>
      </c>
      <c r="D70" s="8"/>
      <c r="E70" s="9" t="s">
        <v>76</v>
      </c>
      <c r="F70" s="8" t="s">
        <v>964</v>
      </c>
      <c r="G70" s="17" t="s">
        <v>965</v>
      </c>
      <c r="H70" s="119">
        <v>118.96</v>
      </c>
      <c r="I70" s="119">
        <v>2.38</v>
      </c>
      <c r="J70" s="119">
        <v>121.34</v>
      </c>
      <c r="K70" s="120" t="s">
        <v>966</v>
      </c>
      <c r="L70" s="119" t="s">
        <v>672</v>
      </c>
      <c r="M70" s="119"/>
      <c r="N70" s="119"/>
      <c r="O70" s="121" t="s">
        <v>698</v>
      </c>
      <c r="P70" s="121"/>
      <c r="Q70" s="9">
        <v>54</v>
      </c>
    </row>
    <row r="71" ht="40.5" spans="1:18">
      <c r="A71" s="7">
        <v>69</v>
      </c>
      <c r="B71" s="20" t="s">
        <v>967</v>
      </c>
      <c r="C71" s="9" t="s">
        <v>484</v>
      </c>
      <c r="D71" s="8"/>
      <c r="E71" s="9" t="s">
        <v>76</v>
      </c>
      <c r="F71" s="8" t="s">
        <v>968</v>
      </c>
      <c r="G71" s="17" t="s">
        <v>485</v>
      </c>
      <c r="H71" s="119">
        <v>353.73</v>
      </c>
      <c r="I71" s="119">
        <v>7.07</v>
      </c>
      <c r="J71" s="119">
        <v>360.8</v>
      </c>
      <c r="K71" s="120" t="s">
        <v>969</v>
      </c>
      <c r="L71" s="119" t="s">
        <v>672</v>
      </c>
      <c r="M71" s="119"/>
      <c r="N71" s="119"/>
      <c r="O71" s="121" t="s">
        <v>698</v>
      </c>
      <c r="P71" s="121"/>
      <c r="Q71" s="9">
        <v>259</v>
      </c>
    </row>
    <row r="72" ht="40.5" spans="1:18">
      <c r="A72" s="7">
        <v>70</v>
      </c>
      <c r="B72" s="20" t="s">
        <v>970</v>
      </c>
      <c r="C72" s="9" t="s">
        <v>487</v>
      </c>
      <c r="D72" s="8"/>
      <c r="E72" s="9" t="s">
        <v>76</v>
      </c>
      <c r="F72" s="8" t="s">
        <v>971</v>
      </c>
      <c r="G72" s="17" t="s">
        <v>488</v>
      </c>
      <c r="H72" s="119">
        <v>336.41</v>
      </c>
      <c r="I72" s="119">
        <v>6.73</v>
      </c>
      <c r="J72" s="119">
        <v>343.14</v>
      </c>
      <c r="K72" s="120" t="s">
        <v>972</v>
      </c>
      <c r="L72" s="119" t="s">
        <v>683</v>
      </c>
      <c r="M72" s="119"/>
      <c r="N72" s="119"/>
      <c r="O72" s="121" t="s">
        <v>698</v>
      </c>
      <c r="P72" s="121"/>
      <c r="Q72" s="9">
        <v>555</v>
      </c>
    </row>
    <row r="73" ht="40.5" spans="1:18">
      <c r="A73" s="7">
        <v>71</v>
      </c>
      <c r="B73" s="20" t="s">
        <v>973</v>
      </c>
      <c r="C73" s="9" t="s">
        <v>490</v>
      </c>
      <c r="D73" s="8"/>
      <c r="E73" s="9" t="s">
        <v>76</v>
      </c>
      <c r="F73" s="8" t="s">
        <v>974</v>
      </c>
      <c r="G73" s="17" t="s">
        <v>491</v>
      </c>
      <c r="H73" s="119">
        <v>582.14</v>
      </c>
      <c r="I73" s="119">
        <v>11.6428</v>
      </c>
      <c r="J73" s="119">
        <v>593.7828</v>
      </c>
      <c r="K73" s="120" t="s">
        <v>975</v>
      </c>
      <c r="L73" s="119" t="s">
        <v>683</v>
      </c>
      <c r="M73" s="119"/>
      <c r="N73" s="119"/>
      <c r="O73" s="121" t="s">
        <v>698</v>
      </c>
      <c r="P73" s="121"/>
      <c r="Q73" s="9">
        <v>210</v>
      </c>
    </row>
    <row r="74" ht="27" spans="1:18">
      <c r="A74" s="7">
        <v>72</v>
      </c>
      <c r="B74" s="20" t="s">
        <v>976</v>
      </c>
      <c r="C74" s="9" t="s">
        <v>493</v>
      </c>
      <c r="D74" s="8"/>
      <c r="E74" s="9" t="s">
        <v>140</v>
      </c>
      <c r="F74" s="9" t="s">
        <v>977</v>
      </c>
      <c r="G74" s="17" t="s">
        <v>116</v>
      </c>
      <c r="H74" s="147">
        <v>334</v>
      </c>
      <c r="I74" s="148">
        <v>6.68</v>
      </c>
      <c r="J74" s="12">
        <v>340.68</v>
      </c>
      <c r="K74" s="146" t="s">
        <v>978</v>
      </c>
      <c r="L74" s="12" t="s">
        <v>692</v>
      </c>
      <c r="M74" s="12"/>
      <c r="N74" s="12"/>
      <c r="O74" s="121" t="s">
        <v>717</v>
      </c>
      <c r="P74" s="121" t="s">
        <v>979</v>
      </c>
      <c r="Q74" s="9">
        <v>443.96</v>
      </c>
    </row>
    <row r="75" s="101" customFormat="1" ht="27" hidden="1" spans="1:18">
      <c r="A75" s="122">
        <v>73</v>
      </c>
      <c r="B75" s="149" t="s">
        <v>980</v>
      </c>
      <c r="C75" s="21" t="s">
        <v>981</v>
      </c>
      <c r="D75" s="142"/>
      <c r="E75" s="21" t="s">
        <v>18</v>
      </c>
      <c r="F75" s="142" t="s">
        <v>982</v>
      </c>
      <c r="G75" s="125" t="s">
        <v>983</v>
      </c>
      <c r="H75" s="121">
        <v>910</v>
      </c>
      <c r="I75" s="121">
        <v>18.2</v>
      </c>
      <c r="J75" s="121">
        <v>928.2</v>
      </c>
      <c r="K75" s="121"/>
      <c r="L75" s="121"/>
      <c r="M75" s="121"/>
      <c r="N75" s="121"/>
      <c r="O75" s="121" t="s">
        <v>723</v>
      </c>
      <c r="P75" s="121"/>
      <c r="Q75" s="21">
        <v>1</v>
      </c>
    </row>
    <row r="76" s="101" customFormat="1" ht="27" hidden="1" spans="1:18">
      <c r="A76" s="122">
        <v>74</v>
      </c>
      <c r="B76" s="149" t="s">
        <v>984</v>
      </c>
      <c r="C76" s="21" t="s">
        <v>578</v>
      </c>
      <c r="D76" s="142"/>
      <c r="E76" s="21" t="s">
        <v>18</v>
      </c>
      <c r="F76" s="142" t="s">
        <v>985</v>
      </c>
      <c r="G76" s="125" t="s">
        <v>986</v>
      </c>
      <c r="H76" s="121">
        <v>4251.75100607929</v>
      </c>
      <c r="I76" s="121">
        <v>85.0350201215858</v>
      </c>
      <c r="J76" s="121">
        <v>4336.78602620088</v>
      </c>
      <c r="K76" s="121"/>
      <c r="L76" s="121"/>
      <c r="M76" s="121"/>
      <c r="N76" s="121"/>
      <c r="O76" s="121" t="s">
        <v>723</v>
      </c>
      <c r="P76" s="121"/>
      <c r="Q76" s="21">
        <v>8</v>
      </c>
    </row>
    <row r="77" s="101" customFormat="1" ht="40.5" hidden="1" spans="1:18">
      <c r="A77" s="122">
        <v>75</v>
      </c>
      <c r="B77" s="149" t="s">
        <v>987</v>
      </c>
      <c r="C77" s="21" t="s">
        <v>988</v>
      </c>
      <c r="D77" s="142"/>
      <c r="E77" s="21" t="s">
        <v>18</v>
      </c>
      <c r="F77" s="21" t="s">
        <v>989</v>
      </c>
      <c r="G77" s="125" t="s">
        <v>990</v>
      </c>
      <c r="H77" s="121">
        <v>4575</v>
      </c>
      <c r="I77" s="121">
        <v>91.5</v>
      </c>
      <c r="J77" s="121">
        <v>4666.5</v>
      </c>
      <c r="K77" s="121"/>
      <c r="L77" s="121"/>
      <c r="M77" s="121"/>
      <c r="N77" s="121"/>
      <c r="O77" s="121" t="s">
        <v>723</v>
      </c>
      <c r="P77" s="121"/>
      <c r="Q77" s="21">
        <v>7</v>
      </c>
    </row>
    <row r="78" ht="54" spans="1:18">
      <c r="A78" s="7">
        <v>76</v>
      </c>
      <c r="B78" s="20" t="s">
        <v>991</v>
      </c>
      <c r="C78" s="9" t="s">
        <v>496</v>
      </c>
      <c r="D78" s="8"/>
      <c r="E78" s="9" t="s">
        <v>140</v>
      </c>
      <c r="F78" s="8" t="s">
        <v>992</v>
      </c>
      <c r="G78" s="17" t="s">
        <v>993</v>
      </c>
      <c r="H78" s="119">
        <v>322.5</v>
      </c>
      <c r="I78" s="119">
        <v>19</v>
      </c>
      <c r="J78" s="119">
        <v>341.5</v>
      </c>
      <c r="K78" s="120" t="s">
        <v>994</v>
      </c>
      <c r="L78" s="12" t="s">
        <v>692</v>
      </c>
      <c r="M78" s="119"/>
      <c r="N78" s="119"/>
      <c r="O78" s="121" t="s">
        <v>698</v>
      </c>
      <c r="P78" s="121"/>
      <c r="Q78" s="9">
        <v>674.0001</v>
      </c>
    </row>
    <row r="79" ht="54" spans="1:18">
      <c r="A79" s="7">
        <v>77</v>
      </c>
      <c r="B79" s="20" t="s">
        <v>995</v>
      </c>
      <c r="C79" s="9" t="s">
        <v>499</v>
      </c>
      <c r="D79" s="8"/>
      <c r="E79" s="9" t="s">
        <v>357</v>
      </c>
      <c r="F79" s="9" t="s">
        <v>996</v>
      </c>
      <c r="G79" s="17" t="s">
        <v>997</v>
      </c>
      <c r="H79" s="119">
        <v>3000</v>
      </c>
      <c r="I79" s="119">
        <v>60</v>
      </c>
      <c r="J79" s="119">
        <v>3060</v>
      </c>
      <c r="K79" s="120" t="s">
        <v>998</v>
      </c>
      <c r="L79" s="12" t="s">
        <v>729</v>
      </c>
      <c r="M79" s="119"/>
      <c r="N79" s="119"/>
      <c r="O79" s="121" t="s">
        <v>698</v>
      </c>
      <c r="P79" s="121"/>
      <c r="Q79" s="9">
        <v>124.07</v>
      </c>
    </row>
    <row r="80" s="103" customFormat="1" hidden="1" spans="1:18">
      <c r="A80" s="136">
        <v>78</v>
      </c>
      <c r="B80" s="150" t="s">
        <v>999</v>
      </c>
      <c r="C80" s="151" t="s">
        <v>1000</v>
      </c>
      <c r="D80" s="138"/>
      <c r="E80" s="138" t="s">
        <v>18</v>
      </c>
      <c r="F80" s="152" t="s">
        <v>1001</v>
      </c>
      <c r="G80" s="139" t="s">
        <v>1000</v>
      </c>
      <c r="H80" s="153" t="s">
        <v>1002</v>
      </c>
      <c r="I80" s="153" t="s">
        <v>1002</v>
      </c>
      <c r="J80" s="153" t="s">
        <v>1002</v>
      </c>
      <c r="K80" s="153"/>
      <c r="L80" s="153"/>
      <c r="M80" s="153"/>
      <c r="N80" s="153"/>
      <c r="O80" s="140" t="s">
        <v>698</v>
      </c>
      <c r="P80" s="140"/>
      <c r="Q80" s="69">
        <v>359.6515</v>
      </c>
      <c r="R80" s="103" t="s">
        <v>1003</v>
      </c>
    </row>
    <row r="81" s="103" customFormat="1" hidden="1" spans="1:18">
      <c r="A81" s="136">
        <v>79</v>
      </c>
      <c r="B81" s="150" t="s">
        <v>1004</v>
      </c>
      <c r="C81" s="151" t="s">
        <v>1000</v>
      </c>
      <c r="D81" s="138"/>
      <c r="E81" s="138" t="s">
        <v>18</v>
      </c>
      <c r="F81" s="152" t="s">
        <v>1005</v>
      </c>
      <c r="G81" s="139" t="s">
        <v>1000</v>
      </c>
      <c r="H81" s="153" t="s">
        <v>1002</v>
      </c>
      <c r="I81" s="153" t="s">
        <v>1002</v>
      </c>
      <c r="J81" s="153" t="s">
        <v>1002</v>
      </c>
      <c r="K81" s="153"/>
      <c r="L81" s="153"/>
      <c r="M81" s="153"/>
      <c r="N81" s="153"/>
      <c r="O81" s="140" t="s">
        <v>698</v>
      </c>
      <c r="P81" s="140"/>
      <c r="Q81" s="69">
        <v>57.7881</v>
      </c>
      <c r="R81" s="103" t="s">
        <v>1003</v>
      </c>
    </row>
    <row r="82" s="103" customFormat="1" ht="40.5" hidden="1" spans="1:18">
      <c r="A82" s="136">
        <v>80</v>
      </c>
      <c r="B82" s="139" t="s">
        <v>523</v>
      </c>
      <c r="C82" s="154" t="s">
        <v>523</v>
      </c>
      <c r="D82" s="154" t="s">
        <v>523</v>
      </c>
      <c r="E82" s="138" t="s">
        <v>18</v>
      </c>
      <c r="F82" s="152" t="s">
        <v>1006</v>
      </c>
      <c r="G82" s="139" t="s">
        <v>1007</v>
      </c>
      <c r="H82" s="153">
        <v>2935.960591133</v>
      </c>
      <c r="I82" s="153">
        <v>44.0394088669951</v>
      </c>
      <c r="J82" s="153">
        <v>2980</v>
      </c>
      <c r="K82" s="153"/>
      <c r="L82" s="153"/>
      <c r="M82" s="153"/>
      <c r="N82" s="153"/>
      <c r="O82" s="140" t="s">
        <v>698</v>
      </c>
      <c r="P82" s="140"/>
      <c r="Q82" s="69">
        <v>8</v>
      </c>
      <c r="R82" s="103" t="s">
        <v>1008</v>
      </c>
    </row>
    <row r="83" s="103" customFormat="1" ht="40.5" hidden="1" spans="1:18">
      <c r="A83" s="136">
        <v>81</v>
      </c>
      <c r="B83" s="139" t="s">
        <v>527</v>
      </c>
      <c r="C83" s="154" t="s">
        <v>527</v>
      </c>
      <c r="D83" s="154" t="s">
        <v>527</v>
      </c>
      <c r="E83" s="138" t="s">
        <v>18</v>
      </c>
      <c r="F83" s="152" t="s">
        <v>1009</v>
      </c>
      <c r="G83" s="139" t="s">
        <v>1010</v>
      </c>
      <c r="H83" s="153">
        <v>2256.15763546798</v>
      </c>
      <c r="I83" s="153">
        <v>33.8423645320197</v>
      </c>
      <c r="J83" s="153">
        <v>2290</v>
      </c>
      <c r="K83" s="153"/>
      <c r="L83" s="153"/>
      <c r="M83" s="153"/>
      <c r="N83" s="153"/>
      <c r="O83" s="140" t="s">
        <v>698</v>
      </c>
      <c r="P83" s="140"/>
      <c r="Q83" s="69">
        <v>300</v>
      </c>
      <c r="R83" s="103" t="s">
        <v>1008</v>
      </c>
    </row>
    <row r="84" s="103" customFormat="1" ht="40.5" hidden="1" spans="1:18">
      <c r="A84" s="136">
        <v>82</v>
      </c>
      <c r="B84" s="139" t="s">
        <v>530</v>
      </c>
      <c r="C84" s="154" t="s">
        <v>530</v>
      </c>
      <c r="D84" s="154" t="s">
        <v>530</v>
      </c>
      <c r="E84" s="138" t="s">
        <v>18</v>
      </c>
      <c r="F84" s="152" t="s">
        <v>1011</v>
      </c>
      <c r="G84" s="139" t="s">
        <v>1012</v>
      </c>
      <c r="H84" s="153">
        <v>1576.35467980296</v>
      </c>
      <c r="I84" s="153">
        <v>23.6453201970443</v>
      </c>
      <c r="J84" s="153">
        <v>1600</v>
      </c>
      <c r="K84" s="153"/>
      <c r="L84" s="153"/>
      <c r="M84" s="153"/>
      <c r="N84" s="153"/>
      <c r="O84" s="140" t="s">
        <v>698</v>
      </c>
      <c r="P84" s="140"/>
      <c r="Q84" s="69">
        <v>967.5689</v>
      </c>
      <c r="R84" s="103" t="s">
        <v>1008</v>
      </c>
    </row>
    <row r="85" s="103" customFormat="1" ht="40.5" hidden="1" spans="1:18">
      <c r="A85" s="136">
        <v>83</v>
      </c>
      <c r="B85" s="139" t="s">
        <v>533</v>
      </c>
      <c r="C85" s="154" t="s">
        <v>533</v>
      </c>
      <c r="D85" s="154" t="s">
        <v>533</v>
      </c>
      <c r="E85" s="138" t="s">
        <v>18</v>
      </c>
      <c r="F85" s="152" t="s">
        <v>1013</v>
      </c>
      <c r="G85" s="139" t="s">
        <v>1014</v>
      </c>
      <c r="H85" s="153">
        <v>896.551724137931</v>
      </c>
      <c r="I85" s="153">
        <v>13.448275862069</v>
      </c>
      <c r="J85" s="153">
        <v>910</v>
      </c>
      <c r="K85" s="153"/>
      <c r="L85" s="153"/>
      <c r="M85" s="153"/>
      <c r="N85" s="153"/>
      <c r="O85" s="140" t="s">
        <v>698</v>
      </c>
      <c r="P85" s="140"/>
      <c r="Q85" s="69">
        <v>703</v>
      </c>
      <c r="R85" s="103" t="s">
        <v>1008</v>
      </c>
    </row>
    <row r="86" ht="40.5" spans="1:18">
      <c r="A86" s="7">
        <v>84</v>
      </c>
      <c r="B86" s="17" t="s">
        <v>1015</v>
      </c>
      <c r="C86" s="10" t="s">
        <v>1015</v>
      </c>
      <c r="D86" s="10" t="s">
        <v>1015</v>
      </c>
      <c r="E86" s="12" t="s">
        <v>18</v>
      </c>
      <c r="F86" s="144" t="s">
        <v>1016</v>
      </c>
      <c r="G86" s="17" t="s">
        <v>1017</v>
      </c>
      <c r="H86" s="155">
        <v>1576</v>
      </c>
      <c r="I86" s="155">
        <v>24</v>
      </c>
      <c r="J86" s="155">
        <v>1600</v>
      </c>
      <c r="K86" s="156" t="s">
        <v>1018</v>
      </c>
      <c r="L86" s="12" t="s">
        <v>729</v>
      </c>
      <c r="M86" s="155"/>
      <c r="N86" s="155"/>
      <c r="O86" s="121" t="s">
        <v>698</v>
      </c>
      <c r="P86" s="121"/>
      <c r="Q86" s="9">
        <v>2230.9999</v>
      </c>
    </row>
    <row r="87" ht="40.5" spans="1:18">
      <c r="A87" s="7">
        <v>85</v>
      </c>
      <c r="B87" s="157" t="s">
        <v>1019</v>
      </c>
      <c r="C87" s="66" t="s">
        <v>1020</v>
      </c>
      <c r="D87" s="158" t="s">
        <v>1021</v>
      </c>
      <c r="E87" s="9" t="s">
        <v>192</v>
      </c>
      <c r="F87" s="8" t="s">
        <v>1022</v>
      </c>
      <c r="G87" s="17" t="s">
        <v>1023</v>
      </c>
      <c r="H87" s="119"/>
      <c r="I87" s="119"/>
      <c r="J87" s="119">
        <v>9858.9</v>
      </c>
      <c r="K87" s="120" t="s">
        <v>1024</v>
      </c>
      <c r="L87" s="119" t="s">
        <v>703</v>
      </c>
      <c r="M87" s="119"/>
      <c r="N87" s="119"/>
      <c r="O87" s="121" t="s">
        <v>698</v>
      </c>
      <c r="P87" s="121"/>
      <c r="Q87" s="9">
        <v>49</v>
      </c>
    </row>
    <row r="88" ht="40.5" spans="1:18">
      <c r="A88" s="7">
        <v>86</v>
      </c>
      <c r="B88" s="157" t="s">
        <v>1025</v>
      </c>
      <c r="C88" s="66" t="s">
        <v>1026</v>
      </c>
      <c r="D88" s="158" t="s">
        <v>1027</v>
      </c>
      <c r="E88" s="9" t="s">
        <v>192</v>
      </c>
      <c r="F88" s="8" t="s">
        <v>1028</v>
      </c>
      <c r="G88" s="17" t="s">
        <v>1029</v>
      </c>
      <c r="H88" s="119"/>
      <c r="I88" s="119"/>
      <c r="J88" s="119">
        <v>16400</v>
      </c>
      <c r="K88" s="120" t="s">
        <v>1024</v>
      </c>
      <c r="L88" s="119" t="s">
        <v>703</v>
      </c>
      <c r="M88" s="119"/>
      <c r="N88" s="119"/>
      <c r="O88" s="121" t="s">
        <v>698</v>
      </c>
      <c r="P88" s="121"/>
      <c r="Q88" s="9">
        <v>22</v>
      </c>
    </row>
    <row r="89" ht="40.5" spans="1:18">
      <c r="A89" s="7">
        <v>87</v>
      </c>
      <c r="B89" s="157" t="s">
        <v>1030</v>
      </c>
      <c r="C89" s="66" t="s">
        <v>1031</v>
      </c>
      <c r="D89" s="158" t="s">
        <v>1032</v>
      </c>
      <c r="E89" s="9" t="s">
        <v>192</v>
      </c>
      <c r="F89" s="8" t="s">
        <v>1033</v>
      </c>
      <c r="G89" s="17" t="s">
        <v>1034</v>
      </c>
      <c r="H89" s="119"/>
      <c r="I89" s="119"/>
      <c r="J89" s="119">
        <v>11216.07</v>
      </c>
      <c r="K89" s="120" t="s">
        <v>1024</v>
      </c>
      <c r="L89" s="119" t="s">
        <v>672</v>
      </c>
      <c r="M89" s="119"/>
      <c r="N89" s="119"/>
      <c r="O89" s="121" t="s">
        <v>698</v>
      </c>
      <c r="P89" s="121"/>
      <c r="Q89" s="9">
        <v>95</v>
      </c>
    </row>
    <row r="90" ht="40.5" spans="1:18">
      <c r="A90" s="7">
        <v>88</v>
      </c>
      <c r="B90" s="157" t="s">
        <v>1035</v>
      </c>
      <c r="C90" s="66" t="s">
        <v>1036</v>
      </c>
      <c r="D90" s="158" t="s">
        <v>1037</v>
      </c>
      <c r="E90" s="9" t="s">
        <v>192</v>
      </c>
      <c r="F90" s="8" t="s">
        <v>1038</v>
      </c>
      <c r="G90" s="17" t="s">
        <v>1039</v>
      </c>
      <c r="H90" s="119"/>
      <c r="I90" s="119"/>
      <c r="J90" s="119">
        <v>19114.33</v>
      </c>
      <c r="K90" s="120" t="s">
        <v>1024</v>
      </c>
      <c r="L90" s="119" t="s">
        <v>672</v>
      </c>
      <c r="M90" s="119"/>
      <c r="N90" s="119"/>
      <c r="O90" s="121" t="s">
        <v>698</v>
      </c>
      <c r="P90" s="121"/>
      <c r="Q90" s="9">
        <v>122</v>
      </c>
    </row>
    <row r="91" ht="40.5" spans="1:18">
      <c r="A91" s="7">
        <v>89</v>
      </c>
      <c r="B91" s="157" t="s">
        <v>1040</v>
      </c>
      <c r="C91" s="66" t="s">
        <v>1041</v>
      </c>
      <c r="D91" s="158" t="s">
        <v>1042</v>
      </c>
      <c r="E91" s="9" t="s">
        <v>192</v>
      </c>
      <c r="F91" s="316" t="s">
        <v>1043</v>
      </c>
      <c r="G91" s="17" t="s">
        <v>1044</v>
      </c>
      <c r="H91" s="119"/>
      <c r="I91" s="119"/>
      <c r="J91" s="119">
        <v>9358.9</v>
      </c>
      <c r="K91" s="120" t="s">
        <v>1024</v>
      </c>
      <c r="L91" s="119" t="s">
        <v>683</v>
      </c>
      <c r="M91" s="119"/>
      <c r="N91" s="119"/>
      <c r="O91" s="121" t="s">
        <v>698</v>
      </c>
      <c r="P91" s="121"/>
      <c r="Q91" s="9">
        <v>36</v>
      </c>
    </row>
    <row r="92" ht="40.5" spans="1:18">
      <c r="A92" s="7">
        <v>90</v>
      </c>
      <c r="B92" s="157" t="s">
        <v>1045</v>
      </c>
      <c r="C92" s="66" t="s">
        <v>1046</v>
      </c>
      <c r="D92" s="158" t="s">
        <v>1047</v>
      </c>
      <c r="E92" s="9" t="s">
        <v>192</v>
      </c>
      <c r="F92" s="316" t="s">
        <v>1048</v>
      </c>
      <c r="G92" s="17" t="s">
        <v>1049</v>
      </c>
      <c r="H92" s="119"/>
      <c r="I92" s="119"/>
      <c r="J92" s="119">
        <v>10716.07</v>
      </c>
      <c r="K92" s="120" t="s">
        <v>1024</v>
      </c>
      <c r="L92" s="119" t="s">
        <v>683</v>
      </c>
      <c r="M92" s="119"/>
      <c r="N92" s="119"/>
      <c r="O92" s="121" t="s">
        <v>698</v>
      </c>
      <c r="P92" s="121"/>
      <c r="Q92" s="9">
        <v>14</v>
      </c>
    </row>
    <row r="93" ht="40.5" spans="1:18">
      <c r="A93" s="7">
        <v>91</v>
      </c>
      <c r="B93" s="157" t="s">
        <v>1050</v>
      </c>
      <c r="C93" s="66" t="s">
        <v>1051</v>
      </c>
      <c r="D93" s="158" t="s">
        <v>1052</v>
      </c>
      <c r="E93" s="9" t="s">
        <v>192</v>
      </c>
      <c r="F93" s="316" t="s">
        <v>1053</v>
      </c>
      <c r="G93" s="17" t="s">
        <v>1054</v>
      </c>
      <c r="H93" s="119"/>
      <c r="I93" s="119"/>
      <c r="J93" s="119">
        <v>15900</v>
      </c>
      <c r="K93" s="120" t="s">
        <v>1024</v>
      </c>
      <c r="L93" s="119" t="s">
        <v>729</v>
      </c>
      <c r="M93" s="119"/>
      <c r="N93" s="119"/>
      <c r="O93" s="121" t="s">
        <v>698</v>
      </c>
      <c r="P93" s="121"/>
      <c r="Q93" s="9">
        <v>0</v>
      </c>
    </row>
    <row r="94" ht="40.5" spans="1:18">
      <c r="A94" s="7">
        <v>92</v>
      </c>
      <c r="B94" s="157" t="s">
        <v>1055</v>
      </c>
      <c r="C94" s="66" t="s">
        <v>1056</v>
      </c>
      <c r="D94" s="158" t="s">
        <v>1057</v>
      </c>
      <c r="E94" s="9" t="s">
        <v>192</v>
      </c>
      <c r="F94" s="316" t="s">
        <v>1058</v>
      </c>
      <c r="G94" s="17" t="s">
        <v>1059</v>
      </c>
      <c r="H94" s="119"/>
      <c r="I94" s="119"/>
      <c r="J94" s="119">
        <v>18614.33</v>
      </c>
      <c r="K94" s="120" t="s">
        <v>1024</v>
      </c>
      <c r="L94" s="119" t="s">
        <v>729</v>
      </c>
      <c r="M94" s="119"/>
      <c r="N94" s="119"/>
      <c r="O94" s="121" t="s">
        <v>698</v>
      </c>
      <c r="P94" s="121"/>
      <c r="Q94" s="9">
        <v>2</v>
      </c>
    </row>
    <row r="95" ht="40.5" spans="1:18">
      <c r="A95" s="7">
        <v>93</v>
      </c>
      <c r="B95" s="157" t="s">
        <v>1060</v>
      </c>
      <c r="C95" s="66" t="s">
        <v>1061</v>
      </c>
      <c r="D95" s="158" t="s">
        <v>1062</v>
      </c>
      <c r="E95" s="9" t="s">
        <v>192</v>
      </c>
      <c r="F95" s="316" t="s">
        <v>1063</v>
      </c>
      <c r="G95" s="17" t="s">
        <v>1064</v>
      </c>
      <c r="H95" s="119"/>
      <c r="I95" s="119"/>
      <c r="J95" s="119">
        <v>9058.9</v>
      </c>
      <c r="K95" s="120" t="s">
        <v>1024</v>
      </c>
      <c r="L95" s="119" t="s">
        <v>692</v>
      </c>
      <c r="M95" s="119"/>
      <c r="N95" s="119"/>
      <c r="O95" s="121" t="s">
        <v>698</v>
      </c>
      <c r="P95" s="121"/>
      <c r="Q95" s="9">
        <v>8</v>
      </c>
    </row>
    <row r="96" s="103" customFormat="1" ht="27" hidden="1" spans="1:18">
      <c r="A96" s="136">
        <v>94</v>
      </c>
      <c r="B96" s="159" t="s">
        <v>1015</v>
      </c>
      <c r="C96" s="160" t="s">
        <v>1015</v>
      </c>
      <c r="D96" s="161" t="s">
        <v>1015</v>
      </c>
      <c r="E96" s="162" t="s">
        <v>18</v>
      </c>
      <c r="F96" s="317" t="s">
        <v>1016</v>
      </c>
      <c r="G96" s="139" t="s">
        <v>1065</v>
      </c>
      <c r="H96" s="153">
        <v>1576</v>
      </c>
      <c r="I96" s="153">
        <v>24</v>
      </c>
      <c r="J96" s="163">
        <v>1600</v>
      </c>
      <c r="K96" s="163"/>
      <c r="L96" s="163"/>
      <c r="M96" s="163"/>
      <c r="N96" s="163"/>
      <c r="O96" s="140" t="s">
        <v>698</v>
      </c>
      <c r="P96" s="140"/>
      <c r="Q96" s="164">
        <v>2231</v>
      </c>
      <c r="R96" s="103" t="s">
        <v>1066</v>
      </c>
    </row>
    <row r="97" ht="40.5" spans="1:16">
      <c r="A97" s="7">
        <v>95</v>
      </c>
      <c r="B97" s="8" t="s">
        <v>1067</v>
      </c>
      <c r="C97" s="8" t="s">
        <v>505</v>
      </c>
      <c r="D97" s="8"/>
      <c r="E97" s="9" t="s">
        <v>140</v>
      </c>
      <c r="F97" s="10"/>
      <c r="G97" s="165" t="s">
        <v>506</v>
      </c>
      <c r="H97" s="8"/>
      <c r="I97" s="8"/>
      <c r="J97" s="12"/>
      <c r="K97" s="146" t="s">
        <v>1068</v>
      </c>
      <c r="L97" s="12" t="s">
        <v>703</v>
      </c>
      <c r="M97" s="12"/>
      <c r="N97" s="12"/>
      <c r="O97" s="13"/>
      <c r="P97"/>
    </row>
  </sheetData>
  <autoFilter xmlns:etc="http://www.wps.cn/officeDocument/2017/etCustomData" ref="A2:R97" etc:filterBottomFollowUsedRange="0">
    <filterColumn colId="11">
      <filters>
        <filter val="中讯院"/>
        <filter val="广东院"/>
        <filter val="福建院"/>
        <filter val="中通建"/>
        <filter val="中通服"/>
      </filters>
    </filterColumn>
    <extLst/>
  </autoFilter>
  <mergeCells count="16">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206"/>
  <sheetViews>
    <sheetView zoomScale="85" zoomScaleNormal="85" workbookViewId="0">
      <pane xSplit="7" ySplit="113" topLeftCell="N116" activePane="bottomRight" state="frozen"/>
      <selection/>
      <selection pane="topRight"/>
      <selection pane="bottomLeft"/>
      <selection pane="bottomRight" activeCell="G118" sqref="G118"/>
    </sheetView>
  </sheetViews>
  <sheetFormatPr defaultColWidth="9" defaultRowHeight="13.5"/>
  <cols>
    <col min="1" max="1" width="9" style="9"/>
    <col min="2" max="2" width="27.5" style="20" customWidth="1"/>
    <col min="3" max="3" width="13.3833333333333" style="9" customWidth="1"/>
    <col min="4" max="4" width="35.1333333333333" style="15" customWidth="1"/>
    <col min="5" max="5" width="18.1333333333333" style="15" customWidth="1"/>
    <col min="6" max="6" width="9" style="9"/>
    <col min="7" max="7" width="19.8833333333333" style="9" customWidth="1"/>
    <col min="8" max="8" width="99.1333333333333" style="20" customWidth="1"/>
    <col min="9" max="9" width="18.1333333333333" style="9" customWidth="1"/>
    <col min="10" max="10" width="22.1333333333333" style="9" customWidth="1"/>
    <col min="11" max="11" width="16.8833333333333" style="9" customWidth="1"/>
    <col min="12" max="12" width="25.1333333333333" style="21" customWidth="1"/>
    <col min="13" max="13" width="38.5" style="22" customWidth="1"/>
    <col min="14" max="14" width="15" style="23" customWidth="1"/>
    <col min="15" max="15" width="14.1333333333333" style="23" customWidth="1"/>
    <col min="16" max="16" width="17.5" style="23" customWidth="1"/>
    <col min="17" max="17" width="18.8833333333333" style="23" customWidth="1"/>
    <col min="18" max="18" width="31.5" style="24" customWidth="1"/>
    <col min="19" max="16384" width="9" style="23"/>
  </cols>
  <sheetData>
    <row r="1" s="18" customFormat="1" ht="16.5" spans="1:18">
      <c r="A1" s="25" t="s">
        <v>154</v>
      </c>
      <c r="B1" s="26" t="s">
        <v>1</v>
      </c>
      <c r="C1" s="27" t="s">
        <v>2</v>
      </c>
      <c r="D1" s="28" t="s">
        <v>155</v>
      </c>
      <c r="E1" s="28" t="s">
        <v>156</v>
      </c>
      <c r="F1" s="29" t="s">
        <v>3</v>
      </c>
      <c r="G1" s="27" t="s">
        <v>660</v>
      </c>
      <c r="H1" s="30" t="s">
        <v>4</v>
      </c>
      <c r="I1" s="31" t="s">
        <v>1069</v>
      </c>
      <c r="J1" s="31" t="s">
        <v>351</v>
      </c>
      <c r="K1" s="32" t="s">
        <v>662</v>
      </c>
      <c r="L1" s="33" t="s">
        <v>665</v>
      </c>
      <c r="M1" s="34" t="s">
        <v>335</v>
      </c>
      <c r="N1" s="35" t="s">
        <v>1070</v>
      </c>
      <c r="O1" s="36" t="s">
        <v>1071</v>
      </c>
      <c r="P1" s="37"/>
      <c r="Q1" s="37"/>
      <c r="R1" s="38"/>
    </row>
    <row r="2" s="18" customFormat="1" ht="61.7" customHeight="1" spans="1:18">
      <c r="A2" s="39"/>
      <c r="B2" s="40"/>
      <c r="C2" s="41"/>
      <c r="D2" s="42"/>
      <c r="E2" s="42"/>
      <c r="F2" s="43"/>
      <c r="G2" s="41"/>
      <c r="H2" s="44"/>
      <c r="I2" s="45"/>
      <c r="J2" s="45"/>
      <c r="K2" s="46"/>
      <c r="L2" s="47"/>
      <c r="M2" s="48"/>
      <c r="N2" s="49" t="s">
        <v>667</v>
      </c>
      <c r="O2" s="50" t="s">
        <v>1072</v>
      </c>
      <c r="P2" s="50" t="s">
        <v>1073</v>
      </c>
      <c r="Q2" s="50" t="s">
        <v>1074</v>
      </c>
      <c r="R2" s="50" t="s">
        <v>335</v>
      </c>
    </row>
    <row r="3" ht="27" hidden="1" spans="1:18">
      <c r="A3" s="9">
        <v>1</v>
      </c>
      <c r="B3" s="51" t="s">
        <v>1075</v>
      </c>
      <c r="C3" s="52" t="s">
        <v>166</v>
      </c>
      <c r="D3" s="53" t="s">
        <v>167</v>
      </c>
      <c r="E3" s="53" t="s">
        <v>1076</v>
      </c>
      <c r="F3" s="54" t="s">
        <v>18</v>
      </c>
      <c r="G3" s="54" t="s">
        <v>1077</v>
      </c>
      <c r="H3" s="55" t="s">
        <v>1078</v>
      </c>
      <c r="I3" s="56">
        <v>13000</v>
      </c>
      <c r="J3" s="56">
        <v>260</v>
      </c>
      <c r="K3" s="57">
        <v>13260</v>
      </c>
      <c r="L3" s="58" t="s">
        <v>1079</v>
      </c>
      <c r="M3" s="59" t="s">
        <v>1080</v>
      </c>
      <c r="N3" s="9">
        <v>36.2235</v>
      </c>
      <c r="O3" s="60"/>
      <c r="P3" s="9"/>
      <c r="Q3" s="9"/>
      <c r="R3" s="15" t="s">
        <v>1081</v>
      </c>
    </row>
    <row r="4" hidden="1" spans="1:18">
      <c r="A4" s="9">
        <v>2</v>
      </c>
      <c r="B4" s="61" t="s">
        <v>1082</v>
      </c>
      <c r="C4" s="52" t="s">
        <v>166</v>
      </c>
      <c r="D4" s="62" t="s">
        <v>167</v>
      </c>
      <c r="E4" s="62" t="s">
        <v>1083</v>
      </c>
      <c r="F4" s="54" t="s">
        <v>55</v>
      </c>
      <c r="G4" s="54" t="s">
        <v>1084</v>
      </c>
      <c r="H4" s="63" t="s">
        <v>1085</v>
      </c>
      <c r="I4" s="56">
        <v>8000</v>
      </c>
      <c r="J4" s="56">
        <v>160</v>
      </c>
      <c r="K4" s="57">
        <v>8160</v>
      </c>
      <c r="L4" s="58" t="s">
        <v>723</v>
      </c>
      <c r="M4" s="59"/>
      <c r="N4" s="9">
        <v>3</v>
      </c>
      <c r="O4" s="60"/>
      <c r="P4" s="9"/>
      <c r="Q4" s="9"/>
      <c r="R4" s="15" t="s">
        <v>1081</v>
      </c>
    </row>
    <row r="5" ht="40.5" hidden="1" spans="1:18">
      <c r="A5" s="9">
        <v>3</v>
      </c>
      <c r="B5" s="51" t="s">
        <v>1086</v>
      </c>
      <c r="C5" s="52" t="s">
        <v>166</v>
      </c>
      <c r="D5" s="53" t="s">
        <v>167</v>
      </c>
      <c r="E5" s="53" t="s">
        <v>1087</v>
      </c>
      <c r="F5" s="54" t="s">
        <v>46</v>
      </c>
      <c r="G5" s="54" t="s">
        <v>1088</v>
      </c>
      <c r="H5" s="55" t="s">
        <v>1089</v>
      </c>
      <c r="I5" s="56">
        <v>1400</v>
      </c>
      <c r="J5" s="56">
        <v>28</v>
      </c>
      <c r="K5" s="57">
        <v>1428</v>
      </c>
      <c r="L5" s="58" t="s">
        <v>1079</v>
      </c>
      <c r="M5" s="59" t="s">
        <v>1090</v>
      </c>
      <c r="N5" s="9">
        <v>31</v>
      </c>
      <c r="O5" s="60">
        <v>3350</v>
      </c>
      <c r="P5" s="64">
        <f>K5-O5</f>
        <v>-1922</v>
      </c>
      <c r="Q5" s="65">
        <f>(K5-O5)/K5</f>
        <v>-1.34593837535014</v>
      </c>
      <c r="R5" s="62" t="s">
        <v>1091</v>
      </c>
    </row>
    <row r="6" ht="40.5" hidden="1" spans="1:18">
      <c r="A6" s="9">
        <v>4</v>
      </c>
      <c r="B6" s="51" t="s">
        <v>1092</v>
      </c>
      <c r="C6" s="52" t="s">
        <v>166</v>
      </c>
      <c r="D6" s="62" t="s">
        <v>167</v>
      </c>
      <c r="E6" s="62" t="s">
        <v>1093</v>
      </c>
      <c r="F6" s="54" t="s">
        <v>46</v>
      </c>
      <c r="G6" s="54" t="s">
        <v>1094</v>
      </c>
      <c r="H6" s="63" t="s">
        <v>1095</v>
      </c>
      <c r="I6" s="56">
        <v>3500</v>
      </c>
      <c r="J6" s="56">
        <v>70</v>
      </c>
      <c r="K6" s="57">
        <v>3570</v>
      </c>
      <c r="L6" s="58" t="s">
        <v>1079</v>
      </c>
      <c r="M6" s="59" t="s">
        <v>1096</v>
      </c>
      <c r="N6" s="9">
        <v>18</v>
      </c>
      <c r="O6" s="60">
        <v>3884</v>
      </c>
      <c r="P6" s="64">
        <f t="shared" ref="P6:P26" si="0">K6-O6</f>
        <v>-314</v>
      </c>
      <c r="Q6" s="65">
        <f t="shared" ref="Q6:Q26" si="1">(K6-O6)/K6</f>
        <v>-0.0879551820728291</v>
      </c>
      <c r="R6" s="62" t="s">
        <v>1097</v>
      </c>
    </row>
    <row r="7" ht="27" hidden="1" spans="1:18">
      <c r="A7" s="9">
        <v>5</v>
      </c>
      <c r="B7" s="51" t="s">
        <v>1098</v>
      </c>
      <c r="C7" s="52" t="s">
        <v>166</v>
      </c>
      <c r="D7" s="62" t="s">
        <v>167</v>
      </c>
      <c r="E7" s="62" t="s">
        <v>1099</v>
      </c>
      <c r="F7" s="54" t="s">
        <v>18</v>
      </c>
      <c r="G7" s="54" t="s">
        <v>1100</v>
      </c>
      <c r="H7" s="63" t="s">
        <v>1101</v>
      </c>
      <c r="I7" s="56">
        <v>10000</v>
      </c>
      <c r="J7" s="56">
        <v>200</v>
      </c>
      <c r="K7" s="57">
        <v>10200</v>
      </c>
      <c r="L7" s="58" t="s">
        <v>1079</v>
      </c>
      <c r="M7" s="59"/>
      <c r="N7" s="9">
        <v>14</v>
      </c>
      <c r="O7" s="60">
        <v>12020</v>
      </c>
      <c r="P7" s="64">
        <f t="shared" si="0"/>
        <v>-1820</v>
      </c>
      <c r="Q7" s="65">
        <f t="shared" si="1"/>
        <v>-0.17843137254902</v>
      </c>
      <c r="R7" s="62" t="s">
        <v>1102</v>
      </c>
    </row>
    <row r="8" ht="40.5" hidden="1" spans="1:18">
      <c r="A8" s="9">
        <v>6</v>
      </c>
      <c r="B8" s="51" t="s">
        <v>1103</v>
      </c>
      <c r="C8" s="52" t="s">
        <v>166</v>
      </c>
      <c r="D8" s="62" t="s">
        <v>167</v>
      </c>
      <c r="E8" s="62" t="s">
        <v>1104</v>
      </c>
      <c r="F8" s="54" t="s">
        <v>55</v>
      </c>
      <c r="G8" s="66" t="s">
        <v>1105</v>
      </c>
      <c r="H8" s="63" t="s">
        <v>1106</v>
      </c>
      <c r="I8" s="56">
        <v>30000</v>
      </c>
      <c r="J8" s="56">
        <v>600</v>
      </c>
      <c r="K8" s="57">
        <v>30600</v>
      </c>
      <c r="L8" s="58" t="s">
        <v>1079</v>
      </c>
      <c r="M8" s="59" t="s">
        <v>1107</v>
      </c>
      <c r="N8" s="9">
        <v>13</v>
      </c>
      <c r="O8" s="60">
        <v>34346.46</v>
      </c>
      <c r="P8" s="64">
        <f t="shared" si="0"/>
        <v>-3746.46</v>
      </c>
      <c r="Q8" s="65">
        <f t="shared" si="1"/>
        <v>-0.122433333333333</v>
      </c>
      <c r="R8" s="62" t="s">
        <v>1108</v>
      </c>
    </row>
    <row r="9" ht="40.5" hidden="1" spans="1:18">
      <c r="A9" s="9">
        <v>7</v>
      </c>
      <c r="B9" s="51" t="s">
        <v>1109</v>
      </c>
      <c r="C9" s="52" t="s">
        <v>166</v>
      </c>
      <c r="D9" s="53" t="s">
        <v>167</v>
      </c>
      <c r="E9" s="53" t="s">
        <v>1110</v>
      </c>
      <c r="F9" s="54" t="s">
        <v>55</v>
      </c>
      <c r="G9" s="54" t="s">
        <v>1111</v>
      </c>
      <c r="H9" s="55" t="s">
        <v>1106</v>
      </c>
      <c r="I9" s="56">
        <v>31000</v>
      </c>
      <c r="J9" s="56">
        <v>620</v>
      </c>
      <c r="K9" s="57">
        <v>31620</v>
      </c>
      <c r="L9" s="58" t="s">
        <v>1079</v>
      </c>
      <c r="M9" s="59" t="s">
        <v>1112</v>
      </c>
      <c r="N9" s="9">
        <v>47</v>
      </c>
      <c r="O9" s="60">
        <v>35366.46</v>
      </c>
      <c r="P9" s="64">
        <f t="shared" si="0"/>
        <v>-3746.46</v>
      </c>
      <c r="Q9" s="65">
        <f t="shared" si="1"/>
        <v>-0.118483870967742</v>
      </c>
      <c r="R9" s="62" t="s">
        <v>1108</v>
      </c>
    </row>
    <row r="10" ht="40.5" hidden="1" spans="1:18">
      <c r="A10" s="9">
        <v>8</v>
      </c>
      <c r="B10" s="51" t="s">
        <v>1113</v>
      </c>
      <c r="C10" s="52" t="s">
        <v>166</v>
      </c>
      <c r="D10" s="62" t="s">
        <v>167</v>
      </c>
      <c r="E10" s="62" t="s">
        <v>1114</v>
      </c>
      <c r="F10" s="54" t="s">
        <v>55</v>
      </c>
      <c r="G10" s="54" t="s">
        <v>1115</v>
      </c>
      <c r="H10" s="63" t="s">
        <v>1106</v>
      </c>
      <c r="I10" s="56">
        <v>33000</v>
      </c>
      <c r="J10" s="56">
        <v>660</v>
      </c>
      <c r="K10" s="57">
        <v>33660</v>
      </c>
      <c r="L10" s="58" t="s">
        <v>1079</v>
      </c>
      <c r="M10" s="59" t="s">
        <v>1112</v>
      </c>
      <c r="N10" s="9">
        <v>2</v>
      </c>
      <c r="O10" s="60">
        <v>37406.46</v>
      </c>
      <c r="P10" s="64">
        <f t="shared" si="0"/>
        <v>-3746.46</v>
      </c>
      <c r="Q10" s="65">
        <f t="shared" si="1"/>
        <v>-0.11130303030303</v>
      </c>
      <c r="R10" s="62" t="s">
        <v>1108</v>
      </c>
    </row>
    <row r="11" ht="40.5" hidden="1" spans="1:18">
      <c r="A11" s="9">
        <v>9</v>
      </c>
      <c r="B11" s="51" t="s">
        <v>1116</v>
      </c>
      <c r="C11" s="52" t="s">
        <v>166</v>
      </c>
      <c r="D11" s="62" t="s">
        <v>167</v>
      </c>
      <c r="E11" s="62" t="s">
        <v>1117</v>
      </c>
      <c r="F11" s="54" t="s">
        <v>55</v>
      </c>
      <c r="G11" s="54" t="s">
        <v>1118</v>
      </c>
      <c r="H11" s="63" t="s">
        <v>1106</v>
      </c>
      <c r="I11" s="56">
        <v>35000</v>
      </c>
      <c r="J11" s="56">
        <v>700</v>
      </c>
      <c r="K11" s="57">
        <v>35700</v>
      </c>
      <c r="L11" s="58" t="s">
        <v>1079</v>
      </c>
      <c r="M11" s="59" t="s">
        <v>1112</v>
      </c>
      <c r="N11" s="9">
        <v>2</v>
      </c>
      <c r="O11" s="60">
        <v>39446.46</v>
      </c>
      <c r="P11" s="64">
        <f t="shared" si="0"/>
        <v>-3746.46</v>
      </c>
      <c r="Q11" s="65">
        <f t="shared" si="1"/>
        <v>-0.104942857142857</v>
      </c>
      <c r="R11" s="62" t="s">
        <v>1108</v>
      </c>
    </row>
    <row r="12" ht="40.5" hidden="1" spans="1:18">
      <c r="A12" s="9">
        <v>10</v>
      </c>
      <c r="B12" s="51" t="s">
        <v>1119</v>
      </c>
      <c r="C12" s="52" t="s">
        <v>166</v>
      </c>
      <c r="D12" s="62" t="s">
        <v>167</v>
      </c>
      <c r="E12" s="62" t="s">
        <v>1120</v>
      </c>
      <c r="F12" s="54" t="s">
        <v>55</v>
      </c>
      <c r="G12" s="66" t="s">
        <v>1121</v>
      </c>
      <c r="H12" s="63" t="s">
        <v>1106</v>
      </c>
      <c r="I12" s="56">
        <v>44165</v>
      </c>
      <c r="J12" s="56">
        <v>883.3</v>
      </c>
      <c r="K12" s="57">
        <v>45048.3</v>
      </c>
      <c r="L12" s="58" t="s">
        <v>1079</v>
      </c>
      <c r="M12" s="59" t="s">
        <v>1112</v>
      </c>
      <c r="N12" s="9">
        <v>0</v>
      </c>
      <c r="O12" s="60">
        <v>48246.46</v>
      </c>
      <c r="P12" s="64">
        <f t="shared" si="0"/>
        <v>-3198.16</v>
      </c>
      <c r="Q12" s="65">
        <f t="shared" si="1"/>
        <v>-0.0709940219719722</v>
      </c>
      <c r="R12" s="62" t="s">
        <v>1108</v>
      </c>
    </row>
    <row r="13" ht="40.5" hidden="1" spans="1:18">
      <c r="A13" s="9">
        <v>11</v>
      </c>
      <c r="B13" s="51" t="s">
        <v>1122</v>
      </c>
      <c r="C13" s="52" t="s">
        <v>166</v>
      </c>
      <c r="D13" s="62" t="s">
        <v>167</v>
      </c>
      <c r="E13" s="62" t="s">
        <v>1123</v>
      </c>
      <c r="F13" s="54" t="s">
        <v>55</v>
      </c>
      <c r="G13" s="54" t="s">
        <v>1124</v>
      </c>
      <c r="H13" s="63" t="s">
        <v>1125</v>
      </c>
      <c r="I13" s="56">
        <v>53700</v>
      </c>
      <c r="J13" s="56">
        <v>1074</v>
      </c>
      <c r="K13" s="57">
        <v>54774</v>
      </c>
      <c r="L13" s="58" t="s">
        <v>1079</v>
      </c>
      <c r="M13" s="59" t="s">
        <v>1126</v>
      </c>
      <c r="N13" s="9">
        <v>2</v>
      </c>
      <c r="O13" s="60">
        <v>54774</v>
      </c>
      <c r="P13" s="64">
        <f t="shared" si="0"/>
        <v>0</v>
      </c>
      <c r="Q13" s="65">
        <f t="shared" si="1"/>
        <v>0</v>
      </c>
      <c r="R13" s="67" t="s">
        <v>1127</v>
      </c>
    </row>
    <row r="14" ht="40.5" hidden="1" spans="1:18">
      <c r="A14" s="9">
        <v>12</v>
      </c>
      <c r="B14" s="51" t="s">
        <v>1128</v>
      </c>
      <c r="C14" s="52" t="s">
        <v>166</v>
      </c>
      <c r="D14" s="62" t="s">
        <v>167</v>
      </c>
      <c r="E14" s="62" t="s">
        <v>1129</v>
      </c>
      <c r="F14" s="54" t="s">
        <v>55</v>
      </c>
      <c r="G14" s="54" t="s">
        <v>1130</v>
      </c>
      <c r="H14" s="63" t="s">
        <v>1125</v>
      </c>
      <c r="I14" s="56">
        <v>62700</v>
      </c>
      <c r="J14" s="56">
        <v>1254</v>
      </c>
      <c r="K14" s="57">
        <v>63954</v>
      </c>
      <c r="L14" s="58" t="s">
        <v>1079</v>
      </c>
      <c r="M14" s="59" t="s">
        <v>1112</v>
      </c>
      <c r="N14" s="9">
        <v>3</v>
      </c>
      <c r="O14" s="60">
        <v>63954</v>
      </c>
      <c r="P14" s="64">
        <f t="shared" si="0"/>
        <v>0</v>
      </c>
      <c r="Q14" s="65">
        <f t="shared" si="1"/>
        <v>0</v>
      </c>
      <c r="R14" s="67" t="s">
        <v>1127</v>
      </c>
    </row>
    <row r="15" ht="40.5" hidden="1" spans="1:18">
      <c r="A15" s="9">
        <v>13</v>
      </c>
      <c r="B15" s="61" t="s">
        <v>1131</v>
      </c>
      <c r="C15" s="52" t="s">
        <v>166</v>
      </c>
      <c r="D15" s="62" t="s">
        <v>167</v>
      </c>
      <c r="E15" s="62" t="s">
        <v>1132</v>
      </c>
      <c r="F15" s="54" t="s">
        <v>55</v>
      </c>
      <c r="G15" s="54" t="s">
        <v>1133</v>
      </c>
      <c r="H15" s="63" t="s">
        <v>1125</v>
      </c>
      <c r="I15" s="56">
        <v>67700</v>
      </c>
      <c r="J15" s="56">
        <v>1354</v>
      </c>
      <c r="K15" s="57">
        <v>69054</v>
      </c>
      <c r="L15" s="58" t="s">
        <v>723</v>
      </c>
      <c r="M15" s="59"/>
      <c r="N15" s="9">
        <v>1</v>
      </c>
      <c r="O15" s="60">
        <v>81700</v>
      </c>
      <c r="P15" s="64">
        <f t="shared" si="0"/>
        <v>-12646</v>
      </c>
      <c r="Q15" s="65">
        <f t="shared" si="1"/>
        <v>-0.183132041590639</v>
      </c>
      <c r="R15" s="62"/>
    </row>
    <row r="16" ht="40.5" hidden="1" spans="1:18">
      <c r="A16" s="9">
        <v>14</v>
      </c>
      <c r="B16" s="61" t="s">
        <v>1134</v>
      </c>
      <c r="C16" s="52" t="s">
        <v>166</v>
      </c>
      <c r="D16" s="62" t="s">
        <v>167</v>
      </c>
      <c r="E16" s="62" t="s">
        <v>1135</v>
      </c>
      <c r="F16" s="54" t="s">
        <v>55</v>
      </c>
      <c r="G16" s="66" t="s">
        <v>1136</v>
      </c>
      <c r="H16" s="63" t="s">
        <v>1137</v>
      </c>
      <c r="I16" s="56">
        <v>85365.1376146789</v>
      </c>
      <c r="J16" s="56">
        <v>1707.30275229358</v>
      </c>
      <c r="K16" s="57">
        <v>87072.4403669725</v>
      </c>
      <c r="L16" s="58" t="s">
        <v>723</v>
      </c>
      <c r="M16" s="59"/>
      <c r="N16" s="9">
        <v>1</v>
      </c>
      <c r="O16" s="60">
        <v>98700</v>
      </c>
      <c r="P16" s="64">
        <f t="shared" si="0"/>
        <v>-11627.5596330275</v>
      </c>
      <c r="Q16" s="65">
        <f t="shared" si="1"/>
        <v>-0.133538919823797</v>
      </c>
      <c r="R16" s="62"/>
    </row>
    <row r="17" ht="40.5" hidden="1" spans="1:18">
      <c r="A17" s="9">
        <v>15</v>
      </c>
      <c r="B17" s="61" t="s">
        <v>1138</v>
      </c>
      <c r="C17" s="52" t="s">
        <v>166</v>
      </c>
      <c r="D17" s="62" t="s">
        <v>167</v>
      </c>
      <c r="E17" s="62" t="s">
        <v>1139</v>
      </c>
      <c r="F17" s="54" t="s">
        <v>55</v>
      </c>
      <c r="G17" s="66" t="s">
        <v>1140</v>
      </c>
      <c r="H17" s="63" t="s">
        <v>1137</v>
      </c>
      <c r="I17" s="56">
        <v>90088.9908256881</v>
      </c>
      <c r="J17" s="56">
        <v>1801.77981651376</v>
      </c>
      <c r="K17" s="57">
        <v>91890.7706422018</v>
      </c>
      <c r="L17" s="58" t="s">
        <v>723</v>
      </c>
      <c r="M17" s="59"/>
      <c r="N17" s="9">
        <v>0</v>
      </c>
      <c r="O17" s="60">
        <v>106700</v>
      </c>
      <c r="P17" s="64">
        <f t="shared" si="0"/>
        <v>-14809.2293577982</v>
      </c>
      <c r="Q17" s="65">
        <f t="shared" si="1"/>
        <v>-0.161161227121072</v>
      </c>
      <c r="R17" s="62"/>
    </row>
    <row r="18" ht="40.5" hidden="1" spans="1:18">
      <c r="A18" s="9">
        <v>16</v>
      </c>
      <c r="B18" s="51" t="s">
        <v>1141</v>
      </c>
      <c r="C18" s="52" t="s">
        <v>166</v>
      </c>
      <c r="D18" s="53" t="s">
        <v>167</v>
      </c>
      <c r="E18" s="53" t="s">
        <v>1142</v>
      </c>
      <c r="F18" s="54" t="s">
        <v>1143</v>
      </c>
      <c r="G18" s="54" t="s">
        <v>1144</v>
      </c>
      <c r="H18" s="55" t="s">
        <v>1145</v>
      </c>
      <c r="I18" s="56">
        <v>370</v>
      </c>
      <c r="J18" s="56">
        <v>7.4</v>
      </c>
      <c r="K18" s="57">
        <v>377.4</v>
      </c>
      <c r="L18" s="58" t="s">
        <v>1079</v>
      </c>
      <c r="M18" s="59" t="s">
        <v>1146</v>
      </c>
      <c r="N18" s="9">
        <v>117.1724</v>
      </c>
      <c r="O18" s="60">
        <v>440</v>
      </c>
      <c r="P18" s="64">
        <f t="shared" si="0"/>
        <v>-62.6</v>
      </c>
      <c r="Q18" s="65">
        <f t="shared" si="1"/>
        <v>-0.165871754107048</v>
      </c>
      <c r="R18" s="62"/>
    </row>
    <row r="19" ht="40.5" hidden="1" spans="1:18">
      <c r="A19" s="9">
        <v>17</v>
      </c>
      <c r="B19" s="51" t="s">
        <v>1147</v>
      </c>
      <c r="C19" s="52" t="s">
        <v>166</v>
      </c>
      <c r="D19" s="53" t="s">
        <v>167</v>
      </c>
      <c r="E19" s="53" t="s">
        <v>1148</v>
      </c>
      <c r="F19" s="54" t="s">
        <v>1143</v>
      </c>
      <c r="G19" s="54" t="s">
        <v>1149</v>
      </c>
      <c r="H19" s="55" t="s">
        <v>1145</v>
      </c>
      <c r="I19" s="56">
        <v>470</v>
      </c>
      <c r="J19" s="56">
        <v>9.4</v>
      </c>
      <c r="K19" s="57">
        <v>479.4</v>
      </c>
      <c r="L19" s="58" t="s">
        <v>1079</v>
      </c>
      <c r="M19" s="59" t="s">
        <v>1150</v>
      </c>
      <c r="N19" s="9">
        <v>145.69</v>
      </c>
      <c r="O19" s="60">
        <v>550</v>
      </c>
      <c r="P19" s="64">
        <f t="shared" si="0"/>
        <v>-70.6</v>
      </c>
      <c r="Q19" s="65">
        <f t="shared" si="1"/>
        <v>-0.14726741760534</v>
      </c>
      <c r="R19" s="62"/>
    </row>
    <row r="20" ht="40.5" hidden="1" spans="1:18">
      <c r="A20" s="9">
        <v>18</v>
      </c>
      <c r="B20" s="51" t="s">
        <v>1151</v>
      </c>
      <c r="C20" s="52" t="s">
        <v>166</v>
      </c>
      <c r="D20" s="53" t="s">
        <v>167</v>
      </c>
      <c r="E20" s="53" t="s">
        <v>1152</v>
      </c>
      <c r="F20" s="54" t="s">
        <v>1143</v>
      </c>
      <c r="G20" s="54" t="s">
        <v>1153</v>
      </c>
      <c r="H20" s="55" t="s">
        <v>1145</v>
      </c>
      <c r="I20" s="56">
        <v>520</v>
      </c>
      <c r="J20" s="56">
        <v>10.4</v>
      </c>
      <c r="K20" s="57">
        <v>530.4</v>
      </c>
      <c r="L20" s="58" t="s">
        <v>1079</v>
      </c>
      <c r="M20" s="59" t="s">
        <v>1154</v>
      </c>
      <c r="N20" s="9">
        <v>872.06</v>
      </c>
      <c r="O20" s="60">
        <v>610</v>
      </c>
      <c r="P20" s="64">
        <f t="shared" si="0"/>
        <v>-79.6</v>
      </c>
      <c r="Q20" s="65">
        <f t="shared" si="1"/>
        <v>-0.150075414781297</v>
      </c>
      <c r="R20" s="62"/>
    </row>
    <row r="21" ht="40.5" hidden="1" spans="1:18">
      <c r="A21" s="9">
        <v>19</v>
      </c>
      <c r="B21" s="61" t="s">
        <v>1155</v>
      </c>
      <c r="C21" s="52" t="s">
        <v>166</v>
      </c>
      <c r="D21" s="62" t="s">
        <v>167</v>
      </c>
      <c r="E21" s="62" t="s">
        <v>1156</v>
      </c>
      <c r="F21" s="54" t="s">
        <v>1143</v>
      </c>
      <c r="G21" s="54" t="s">
        <v>1157</v>
      </c>
      <c r="H21" s="63" t="s">
        <v>1158</v>
      </c>
      <c r="I21" s="56">
        <v>235</v>
      </c>
      <c r="J21" s="56">
        <v>4.7</v>
      </c>
      <c r="K21" s="57">
        <v>239.7</v>
      </c>
      <c r="L21" s="58" t="s">
        <v>723</v>
      </c>
      <c r="M21" s="59"/>
      <c r="N21" s="9">
        <v>0</v>
      </c>
      <c r="O21" s="60">
        <v>552.9</v>
      </c>
      <c r="P21" s="64">
        <f t="shared" si="0"/>
        <v>-313.2</v>
      </c>
      <c r="Q21" s="65">
        <f t="shared" si="1"/>
        <v>-1.30663329161452</v>
      </c>
      <c r="R21" s="62" t="s">
        <v>1159</v>
      </c>
    </row>
    <row r="22" ht="40.5" hidden="1" spans="1:18">
      <c r="A22" s="9">
        <v>20</v>
      </c>
      <c r="B22" s="51" t="s">
        <v>1160</v>
      </c>
      <c r="C22" s="52" t="s">
        <v>166</v>
      </c>
      <c r="D22" s="53" t="s">
        <v>167</v>
      </c>
      <c r="E22" s="53" t="s">
        <v>1161</v>
      </c>
      <c r="F22" s="54" t="s">
        <v>1143</v>
      </c>
      <c r="G22" s="54" t="s">
        <v>1162</v>
      </c>
      <c r="H22" s="55" t="s">
        <v>1158</v>
      </c>
      <c r="I22" s="56">
        <v>275</v>
      </c>
      <c r="J22" s="56">
        <v>5.5</v>
      </c>
      <c r="K22" s="57">
        <v>280.5</v>
      </c>
      <c r="L22" s="58" t="s">
        <v>1079</v>
      </c>
      <c r="M22" s="59" t="s">
        <v>1163</v>
      </c>
      <c r="N22" s="9">
        <v>72.67</v>
      </c>
      <c r="O22" s="60">
        <v>320</v>
      </c>
      <c r="P22" s="64">
        <f t="shared" si="0"/>
        <v>-39.5</v>
      </c>
      <c r="Q22" s="65">
        <f t="shared" si="1"/>
        <v>-0.140819964349376</v>
      </c>
      <c r="R22" s="62"/>
    </row>
    <row r="23" ht="40.5" hidden="1" spans="1:18">
      <c r="A23" s="9">
        <v>21</v>
      </c>
      <c r="B23" s="61" t="s">
        <v>1164</v>
      </c>
      <c r="C23" s="52" t="s">
        <v>166</v>
      </c>
      <c r="D23" s="62" t="s">
        <v>167</v>
      </c>
      <c r="E23" s="62" t="s">
        <v>1165</v>
      </c>
      <c r="F23" s="54" t="s">
        <v>1143</v>
      </c>
      <c r="G23" s="54" t="s">
        <v>1166</v>
      </c>
      <c r="H23" s="63" t="s">
        <v>1158</v>
      </c>
      <c r="I23" s="56">
        <v>280</v>
      </c>
      <c r="J23" s="56">
        <v>5.6</v>
      </c>
      <c r="K23" s="57">
        <v>285.6</v>
      </c>
      <c r="L23" s="58" t="s">
        <v>723</v>
      </c>
      <c r="M23" s="59"/>
      <c r="N23" s="9">
        <v>0</v>
      </c>
      <c r="O23" s="60">
        <v>552.9</v>
      </c>
      <c r="P23" s="64">
        <f t="shared" si="0"/>
        <v>-267.3</v>
      </c>
      <c r="Q23" s="65">
        <f t="shared" si="1"/>
        <v>-0.935924369747899</v>
      </c>
      <c r="R23" s="62" t="s">
        <v>1159</v>
      </c>
    </row>
    <row r="24" ht="67.5" hidden="1" spans="1:18">
      <c r="A24" s="9">
        <v>22</v>
      </c>
      <c r="B24" s="61" t="s">
        <v>1167</v>
      </c>
      <c r="C24" s="52" t="s">
        <v>166</v>
      </c>
      <c r="D24" s="62" t="s">
        <v>167</v>
      </c>
      <c r="E24" s="62" t="s">
        <v>1168</v>
      </c>
      <c r="F24" s="54" t="s">
        <v>1143</v>
      </c>
      <c r="G24" s="54" t="s">
        <v>1169</v>
      </c>
      <c r="H24" s="63" t="s">
        <v>1170</v>
      </c>
      <c r="I24" s="57">
        <v>1174.6</v>
      </c>
      <c r="J24" s="57">
        <v>23.7</v>
      </c>
      <c r="K24" s="57">
        <v>1198.3</v>
      </c>
      <c r="L24" s="58" t="s">
        <v>723</v>
      </c>
      <c r="M24" s="59"/>
      <c r="N24" s="9">
        <v>0</v>
      </c>
      <c r="O24" s="60">
        <v>2140</v>
      </c>
      <c r="P24" s="64">
        <f t="shared" si="0"/>
        <v>-941.7</v>
      </c>
      <c r="Q24" s="65">
        <f t="shared" si="1"/>
        <v>-0.785863306350663</v>
      </c>
      <c r="R24" s="62"/>
    </row>
    <row r="25" ht="67.5" hidden="1" spans="1:18">
      <c r="A25" s="9">
        <v>23</v>
      </c>
      <c r="B25" s="61" t="s">
        <v>1171</v>
      </c>
      <c r="C25" s="52" t="s">
        <v>166</v>
      </c>
      <c r="D25" s="62" t="s">
        <v>167</v>
      </c>
      <c r="E25" s="62" t="s">
        <v>1172</v>
      </c>
      <c r="F25" s="54" t="s">
        <v>1143</v>
      </c>
      <c r="G25" s="54" t="s">
        <v>1173</v>
      </c>
      <c r="H25" s="63" t="s">
        <v>1170</v>
      </c>
      <c r="I25" s="57">
        <v>1234.1</v>
      </c>
      <c r="J25" s="57">
        <v>24.1</v>
      </c>
      <c r="K25" s="57">
        <v>1258.2</v>
      </c>
      <c r="L25" s="58" t="s">
        <v>723</v>
      </c>
      <c r="M25" s="59"/>
      <c r="N25" s="9">
        <v>0</v>
      </c>
      <c r="O25" s="60">
        <v>2211</v>
      </c>
      <c r="P25" s="64">
        <f t="shared" si="0"/>
        <v>-952.8</v>
      </c>
      <c r="Q25" s="65">
        <f t="shared" si="1"/>
        <v>-0.75727229375298</v>
      </c>
      <c r="R25" s="62"/>
    </row>
    <row r="26" ht="67.5" hidden="1" spans="1:18">
      <c r="A26" s="9">
        <v>24</v>
      </c>
      <c r="B26" s="61" t="s">
        <v>1174</v>
      </c>
      <c r="C26" s="52" t="s">
        <v>166</v>
      </c>
      <c r="D26" s="62" t="s">
        <v>167</v>
      </c>
      <c r="E26" s="62" t="s">
        <v>1175</v>
      </c>
      <c r="F26" s="54" t="s">
        <v>1143</v>
      </c>
      <c r="G26" s="54" t="s">
        <v>1176</v>
      </c>
      <c r="H26" s="63" t="s">
        <v>1170</v>
      </c>
      <c r="I26" s="57">
        <v>1340.4</v>
      </c>
      <c r="J26" s="57">
        <v>27.3</v>
      </c>
      <c r="K26" s="57">
        <v>1367.7</v>
      </c>
      <c r="L26" s="58" t="s">
        <v>723</v>
      </c>
      <c r="M26" s="59"/>
      <c r="N26" s="9">
        <v>15.2</v>
      </c>
      <c r="O26" s="60">
        <v>2317</v>
      </c>
      <c r="P26" s="64">
        <f t="shared" si="0"/>
        <v>-949.3</v>
      </c>
      <c r="Q26" s="65">
        <f t="shared" si="1"/>
        <v>-0.69408496015208</v>
      </c>
      <c r="R26" s="62"/>
    </row>
    <row r="27" ht="67.5" hidden="1" spans="1:18">
      <c r="A27" s="9">
        <v>25</v>
      </c>
      <c r="B27" s="61" t="s">
        <v>1177</v>
      </c>
      <c r="C27" s="52" t="s">
        <v>166</v>
      </c>
      <c r="D27" s="62" t="s">
        <v>167</v>
      </c>
      <c r="E27" s="62" t="s">
        <v>1178</v>
      </c>
      <c r="F27" s="54" t="s">
        <v>1143</v>
      </c>
      <c r="G27" s="54" t="s">
        <v>1179</v>
      </c>
      <c r="H27" s="63" t="s">
        <v>1180</v>
      </c>
      <c r="I27" s="57">
        <v>774.6</v>
      </c>
      <c r="J27" s="57">
        <v>23.7</v>
      </c>
      <c r="K27" s="57">
        <v>798.3</v>
      </c>
      <c r="L27" s="58" t="s">
        <v>723</v>
      </c>
      <c r="M27" s="59"/>
      <c r="N27" s="9">
        <v>0</v>
      </c>
      <c r="O27" s="60"/>
      <c r="P27" s="9"/>
      <c r="Q27" s="9"/>
      <c r="R27" s="15" t="s">
        <v>1081</v>
      </c>
    </row>
    <row r="28" ht="67.5" hidden="1" spans="1:18">
      <c r="A28" s="9">
        <v>26</v>
      </c>
      <c r="B28" s="61" t="s">
        <v>1181</v>
      </c>
      <c r="C28" s="52" t="s">
        <v>166</v>
      </c>
      <c r="D28" s="62" t="s">
        <v>167</v>
      </c>
      <c r="E28" s="62" t="s">
        <v>1182</v>
      </c>
      <c r="F28" s="54" t="s">
        <v>1143</v>
      </c>
      <c r="G28" s="54" t="s">
        <v>1183</v>
      </c>
      <c r="H28" s="63" t="s">
        <v>1180</v>
      </c>
      <c r="I28" s="57">
        <v>784.1</v>
      </c>
      <c r="J28" s="57">
        <v>24.1</v>
      </c>
      <c r="K28" s="57">
        <v>808.2</v>
      </c>
      <c r="L28" s="58" t="s">
        <v>723</v>
      </c>
      <c r="M28" s="59"/>
      <c r="N28" s="9">
        <v>0</v>
      </c>
      <c r="O28" s="60">
        <v>1560</v>
      </c>
      <c r="P28" s="64">
        <f t="shared" ref="P28:P34" si="2">K28-O28</f>
        <v>-751.8</v>
      </c>
      <c r="Q28" s="65">
        <f t="shared" ref="Q28:Q34" si="3">(K28-O28)/K28</f>
        <v>-0.930215293244246</v>
      </c>
      <c r="R28" s="62"/>
    </row>
    <row r="29" ht="67.5" hidden="1" spans="1:18">
      <c r="A29" s="9">
        <v>27</v>
      </c>
      <c r="B29" s="61" t="s">
        <v>1184</v>
      </c>
      <c r="C29" s="52" t="s">
        <v>166</v>
      </c>
      <c r="D29" s="62" t="s">
        <v>167</v>
      </c>
      <c r="E29" s="62" t="s">
        <v>1185</v>
      </c>
      <c r="F29" s="54" t="s">
        <v>1143</v>
      </c>
      <c r="G29" s="54" t="s">
        <v>1186</v>
      </c>
      <c r="H29" s="63" t="s">
        <v>1180</v>
      </c>
      <c r="I29" s="57">
        <v>840.4</v>
      </c>
      <c r="J29" s="57">
        <v>27.3</v>
      </c>
      <c r="K29" s="57">
        <v>867.7</v>
      </c>
      <c r="L29" s="58" t="s">
        <v>723</v>
      </c>
      <c r="M29" s="59"/>
      <c r="N29" s="9">
        <v>0.5</v>
      </c>
      <c r="O29" s="60">
        <v>1567</v>
      </c>
      <c r="P29" s="64">
        <f t="shared" si="2"/>
        <v>-699.3</v>
      </c>
      <c r="Q29" s="65">
        <f t="shared" si="3"/>
        <v>-0.805923706350121</v>
      </c>
      <c r="R29" s="62"/>
    </row>
    <row r="30" ht="40.5" hidden="1" spans="1:18">
      <c r="A30" s="9">
        <v>28</v>
      </c>
      <c r="B30" s="61" t="s">
        <v>1187</v>
      </c>
      <c r="C30" s="52" t="s">
        <v>166</v>
      </c>
      <c r="D30" s="62" t="s">
        <v>167</v>
      </c>
      <c r="E30" s="62" t="s">
        <v>1188</v>
      </c>
      <c r="F30" s="54" t="s">
        <v>1143</v>
      </c>
      <c r="G30" s="54" t="s">
        <v>1189</v>
      </c>
      <c r="H30" s="63" t="s">
        <v>1190</v>
      </c>
      <c r="I30" s="57">
        <v>4571.9596</v>
      </c>
      <c r="J30" s="57">
        <v>79.81</v>
      </c>
      <c r="K30" s="57">
        <v>4651.7696</v>
      </c>
      <c r="L30" s="58" t="s">
        <v>723</v>
      </c>
      <c r="M30" s="59"/>
      <c r="N30" s="9">
        <v>5.2</v>
      </c>
      <c r="O30" s="60">
        <v>5413</v>
      </c>
      <c r="P30" s="64">
        <f t="shared" si="2"/>
        <v>-761.2304</v>
      </c>
      <c r="Q30" s="65">
        <f t="shared" si="3"/>
        <v>-0.163643186455322</v>
      </c>
      <c r="R30" s="62" t="s">
        <v>1191</v>
      </c>
    </row>
    <row r="31" ht="40.5" hidden="1" spans="1:18">
      <c r="A31" s="9">
        <v>29</v>
      </c>
      <c r="B31" s="61" t="s">
        <v>1192</v>
      </c>
      <c r="C31" s="52" t="s">
        <v>166</v>
      </c>
      <c r="D31" s="62" t="s">
        <v>265</v>
      </c>
      <c r="E31" s="62" t="s">
        <v>1193</v>
      </c>
      <c r="F31" s="54" t="s">
        <v>1143</v>
      </c>
      <c r="G31" s="54" t="s">
        <v>1194</v>
      </c>
      <c r="H31" s="63" t="s">
        <v>1195</v>
      </c>
      <c r="I31" s="57">
        <v>3893.39</v>
      </c>
      <c r="J31" s="57">
        <v>79.81</v>
      </c>
      <c r="K31" s="57">
        <v>3973.2</v>
      </c>
      <c r="L31" s="58" t="s">
        <v>723</v>
      </c>
      <c r="M31" s="59"/>
      <c r="N31" s="9">
        <v>3.6</v>
      </c>
      <c r="O31" s="60">
        <v>4663</v>
      </c>
      <c r="P31" s="64">
        <f t="shared" si="2"/>
        <v>-689.8</v>
      </c>
      <c r="Q31" s="65">
        <f t="shared" si="3"/>
        <v>-0.173613208496929</v>
      </c>
      <c r="R31" s="62"/>
    </row>
    <row r="32" ht="40.5" hidden="1" spans="1:18">
      <c r="A32" s="9">
        <v>30</v>
      </c>
      <c r="B32" s="61" t="s">
        <v>1196</v>
      </c>
      <c r="C32" s="52" t="s">
        <v>166</v>
      </c>
      <c r="D32" s="62" t="s">
        <v>167</v>
      </c>
      <c r="E32" s="62" t="s">
        <v>1197</v>
      </c>
      <c r="F32" s="54" t="s">
        <v>1143</v>
      </c>
      <c r="G32" s="54" t="s">
        <v>1198</v>
      </c>
      <c r="H32" s="63" t="s">
        <v>1199</v>
      </c>
      <c r="I32" s="57">
        <v>665.2</v>
      </c>
      <c r="J32" s="56">
        <v>13.8</v>
      </c>
      <c r="K32" s="57">
        <v>679</v>
      </c>
      <c r="L32" s="58" t="s">
        <v>723</v>
      </c>
      <c r="M32" s="59"/>
      <c r="N32" s="9">
        <v>0</v>
      </c>
      <c r="O32" s="60">
        <v>1180</v>
      </c>
      <c r="P32" s="64">
        <f t="shared" si="2"/>
        <v>-501</v>
      </c>
      <c r="Q32" s="65">
        <f t="shared" si="3"/>
        <v>-0.737849779086893</v>
      </c>
      <c r="R32" s="62"/>
    </row>
    <row r="33" ht="40.5" hidden="1" spans="1:18">
      <c r="A33" s="9">
        <v>31</v>
      </c>
      <c r="B33" s="61" t="s">
        <v>1200</v>
      </c>
      <c r="C33" s="52" t="s">
        <v>166</v>
      </c>
      <c r="D33" s="62" t="s">
        <v>167</v>
      </c>
      <c r="E33" s="62" t="s">
        <v>1201</v>
      </c>
      <c r="F33" s="54" t="s">
        <v>1143</v>
      </c>
      <c r="G33" s="54" t="s">
        <v>1202</v>
      </c>
      <c r="H33" s="63" t="s">
        <v>1199</v>
      </c>
      <c r="I33" s="57">
        <v>715.2</v>
      </c>
      <c r="J33" s="56">
        <v>13.8</v>
      </c>
      <c r="K33" s="57">
        <v>729</v>
      </c>
      <c r="L33" s="58" t="s">
        <v>723</v>
      </c>
      <c r="M33" s="59"/>
      <c r="N33" s="9">
        <v>0</v>
      </c>
      <c r="O33" s="60">
        <v>1247</v>
      </c>
      <c r="P33" s="64">
        <f t="shared" si="2"/>
        <v>-518</v>
      </c>
      <c r="Q33" s="65">
        <f t="shared" si="3"/>
        <v>-0.710562414266118</v>
      </c>
      <c r="R33" s="62"/>
    </row>
    <row r="34" ht="40.5" hidden="1" spans="1:18">
      <c r="A34" s="9">
        <v>32</v>
      </c>
      <c r="B34" s="51" t="s">
        <v>1203</v>
      </c>
      <c r="C34" s="52" t="s">
        <v>166</v>
      </c>
      <c r="D34" s="53" t="s">
        <v>167</v>
      </c>
      <c r="E34" s="53" t="s">
        <v>1204</v>
      </c>
      <c r="F34" s="54" t="s">
        <v>1143</v>
      </c>
      <c r="G34" s="54" t="s">
        <v>1205</v>
      </c>
      <c r="H34" s="55" t="s">
        <v>1199</v>
      </c>
      <c r="I34" s="57">
        <v>765.2</v>
      </c>
      <c r="J34" s="56">
        <v>13.8</v>
      </c>
      <c r="K34" s="57">
        <v>779</v>
      </c>
      <c r="L34" s="58" t="s">
        <v>1079</v>
      </c>
      <c r="M34" s="59"/>
      <c r="N34" s="9">
        <v>33</v>
      </c>
      <c r="O34" s="60">
        <v>1357</v>
      </c>
      <c r="P34" s="64">
        <f t="shared" si="2"/>
        <v>-578</v>
      </c>
      <c r="Q34" s="65">
        <f t="shared" si="3"/>
        <v>-0.741976893453145</v>
      </c>
      <c r="R34" s="62"/>
    </row>
    <row r="35" ht="40.5" hidden="1" spans="1:18">
      <c r="A35" s="9">
        <v>33</v>
      </c>
      <c r="B35" s="61" t="s">
        <v>1206</v>
      </c>
      <c r="C35" s="52" t="s">
        <v>166</v>
      </c>
      <c r="D35" s="62" t="s">
        <v>167</v>
      </c>
      <c r="E35" s="62" t="s">
        <v>1207</v>
      </c>
      <c r="F35" s="54" t="s">
        <v>1143</v>
      </c>
      <c r="G35" s="54" t="s">
        <v>1208</v>
      </c>
      <c r="H35" s="63" t="s">
        <v>1209</v>
      </c>
      <c r="I35" s="57">
        <v>265.2</v>
      </c>
      <c r="J35" s="56">
        <v>13.8</v>
      </c>
      <c r="K35" s="57">
        <v>279</v>
      </c>
      <c r="L35" s="58" t="s">
        <v>723</v>
      </c>
      <c r="M35" s="59"/>
      <c r="N35" s="9">
        <v>0</v>
      </c>
      <c r="O35" s="60"/>
      <c r="P35" s="9"/>
      <c r="Q35" s="9"/>
      <c r="R35" s="15" t="s">
        <v>1081</v>
      </c>
    </row>
    <row r="36" ht="27" hidden="1" spans="1:18">
      <c r="A36" s="9">
        <v>34</v>
      </c>
      <c r="B36" s="61" t="s">
        <v>1210</v>
      </c>
      <c r="C36" s="52" t="s">
        <v>166</v>
      </c>
      <c r="D36" s="53" t="s">
        <v>265</v>
      </c>
      <c r="E36" s="53" t="s">
        <v>1211</v>
      </c>
      <c r="F36" s="54" t="s">
        <v>1212</v>
      </c>
      <c r="G36" s="68" t="s">
        <v>1213</v>
      </c>
      <c r="H36" s="55" t="s">
        <v>1214</v>
      </c>
      <c r="I36" s="56">
        <v>1550</v>
      </c>
      <c r="J36" s="56">
        <v>31</v>
      </c>
      <c r="K36" s="57">
        <v>1581</v>
      </c>
      <c r="L36" s="58" t="s">
        <v>723</v>
      </c>
      <c r="M36" s="59"/>
      <c r="N36" s="9">
        <v>7736.8918</v>
      </c>
      <c r="O36" s="60"/>
      <c r="P36" s="9"/>
      <c r="Q36" s="9"/>
      <c r="R36" s="15" t="s">
        <v>1081</v>
      </c>
    </row>
    <row r="37" ht="40.5" hidden="1" spans="1:18">
      <c r="A37" s="9">
        <v>35</v>
      </c>
      <c r="B37" s="51" t="s">
        <v>1215</v>
      </c>
      <c r="C37" s="52" t="s">
        <v>166</v>
      </c>
      <c r="D37" s="53" t="s">
        <v>265</v>
      </c>
      <c r="E37" s="53" t="s">
        <v>1216</v>
      </c>
      <c r="F37" s="54" t="s">
        <v>1212</v>
      </c>
      <c r="G37" s="54" t="s">
        <v>1217</v>
      </c>
      <c r="H37" s="55" t="s">
        <v>1218</v>
      </c>
      <c r="I37" s="57">
        <v>2000</v>
      </c>
      <c r="J37" s="56">
        <v>40</v>
      </c>
      <c r="K37" s="57">
        <v>2040</v>
      </c>
      <c r="L37" s="58" t="s">
        <v>1079</v>
      </c>
      <c r="M37" s="59"/>
      <c r="N37" s="9">
        <v>842</v>
      </c>
      <c r="O37" s="60">
        <v>2040</v>
      </c>
      <c r="P37" s="64">
        <f>K37-O37</f>
        <v>0</v>
      </c>
      <c r="Q37" s="65">
        <f>(K37-O37)/K37</f>
        <v>0</v>
      </c>
      <c r="R37" s="62"/>
    </row>
    <row r="38" ht="40.5" hidden="1" spans="1:18">
      <c r="A38" s="9">
        <v>36</v>
      </c>
      <c r="B38" s="51" t="s">
        <v>1219</v>
      </c>
      <c r="C38" s="52" t="s">
        <v>166</v>
      </c>
      <c r="D38" s="53" t="s">
        <v>265</v>
      </c>
      <c r="E38" s="53" t="s">
        <v>1220</v>
      </c>
      <c r="F38" s="54" t="s">
        <v>1212</v>
      </c>
      <c r="G38" s="54" t="s">
        <v>1221</v>
      </c>
      <c r="H38" s="55" t="s">
        <v>1218</v>
      </c>
      <c r="I38" s="57">
        <v>2500</v>
      </c>
      <c r="J38" s="57">
        <v>50</v>
      </c>
      <c r="K38" s="57">
        <v>2550</v>
      </c>
      <c r="L38" s="58" t="s">
        <v>1079</v>
      </c>
      <c r="M38" s="59"/>
      <c r="N38" s="9">
        <v>2740.2</v>
      </c>
      <c r="O38" s="60">
        <v>2550</v>
      </c>
      <c r="P38" s="64">
        <f>K38-O38</f>
        <v>0</v>
      </c>
      <c r="Q38" s="65">
        <f>(K38-O38)/K38</f>
        <v>0</v>
      </c>
      <c r="R38" s="15"/>
    </row>
    <row r="39" ht="40.5" hidden="1" spans="1:18">
      <c r="A39" s="9">
        <v>37</v>
      </c>
      <c r="B39" s="51" t="s">
        <v>1222</v>
      </c>
      <c r="C39" s="52" t="s">
        <v>166</v>
      </c>
      <c r="D39" s="53" t="s">
        <v>265</v>
      </c>
      <c r="E39" s="53" t="s">
        <v>288</v>
      </c>
      <c r="F39" s="54" t="s">
        <v>1212</v>
      </c>
      <c r="G39" s="54" t="s">
        <v>1223</v>
      </c>
      <c r="H39" s="55" t="s">
        <v>1218</v>
      </c>
      <c r="I39" s="57">
        <v>3400</v>
      </c>
      <c r="J39" s="57">
        <v>68</v>
      </c>
      <c r="K39" s="57">
        <v>3468</v>
      </c>
      <c r="L39" s="58" t="s">
        <v>1079</v>
      </c>
      <c r="M39" s="59"/>
      <c r="N39" s="9">
        <v>1810.6119</v>
      </c>
      <c r="O39" s="60">
        <v>3468</v>
      </c>
      <c r="P39" s="64">
        <f t="shared" ref="P39:P42" si="4">K39-O39</f>
        <v>0</v>
      </c>
      <c r="Q39" s="65">
        <f t="shared" ref="Q39:Q42" si="5">(K39-O39)/K39</f>
        <v>0</v>
      </c>
      <c r="R39" s="62"/>
    </row>
    <row r="40" ht="40.5" hidden="1" spans="1:18">
      <c r="A40" s="9">
        <v>38</v>
      </c>
      <c r="B40" s="51" t="s">
        <v>1224</v>
      </c>
      <c r="C40" s="52" t="s">
        <v>166</v>
      </c>
      <c r="D40" s="53" t="s">
        <v>265</v>
      </c>
      <c r="E40" s="53" t="s">
        <v>290</v>
      </c>
      <c r="F40" s="54" t="s">
        <v>1212</v>
      </c>
      <c r="G40" s="54" t="s">
        <v>1225</v>
      </c>
      <c r="H40" s="55" t="s">
        <v>1226</v>
      </c>
      <c r="I40" s="57">
        <v>4263</v>
      </c>
      <c r="J40" s="57">
        <v>105</v>
      </c>
      <c r="K40" s="57">
        <v>4368</v>
      </c>
      <c r="L40" s="58" t="s">
        <v>1079</v>
      </c>
      <c r="M40" s="59"/>
      <c r="N40" s="9">
        <v>68</v>
      </c>
      <c r="O40" s="60">
        <v>4590</v>
      </c>
      <c r="P40" s="64">
        <f t="shared" si="4"/>
        <v>-222</v>
      </c>
      <c r="Q40" s="65">
        <f t="shared" si="5"/>
        <v>-0.0508241758241758</v>
      </c>
      <c r="R40" s="62"/>
    </row>
    <row r="41" ht="40.5" hidden="1" spans="1:18">
      <c r="A41" s="9">
        <v>39</v>
      </c>
      <c r="B41" s="61" t="s">
        <v>1227</v>
      </c>
      <c r="C41" s="52" t="s">
        <v>166</v>
      </c>
      <c r="D41" s="62" t="s">
        <v>265</v>
      </c>
      <c r="E41" s="62" t="s">
        <v>1228</v>
      </c>
      <c r="F41" s="54" t="s">
        <v>1212</v>
      </c>
      <c r="G41" s="54" t="s">
        <v>1229</v>
      </c>
      <c r="H41" s="63" t="s">
        <v>1218</v>
      </c>
      <c r="I41" s="57">
        <v>7081</v>
      </c>
      <c r="J41" s="57">
        <v>160</v>
      </c>
      <c r="K41" s="57">
        <v>7241</v>
      </c>
      <c r="L41" s="58" t="s">
        <v>723</v>
      </c>
      <c r="M41" s="59"/>
      <c r="N41" s="9">
        <v>3</v>
      </c>
      <c r="O41" s="60">
        <v>8300.84</v>
      </c>
      <c r="P41" s="64">
        <f t="shared" si="4"/>
        <v>-1059.84</v>
      </c>
      <c r="Q41" s="65">
        <f t="shared" si="5"/>
        <v>-0.146366523960779</v>
      </c>
      <c r="R41" s="62"/>
    </row>
    <row r="42" ht="40.5" hidden="1" spans="1:18">
      <c r="A42" s="9">
        <v>40</v>
      </c>
      <c r="B42" s="51" t="s">
        <v>1230</v>
      </c>
      <c r="C42" s="52" t="s">
        <v>166</v>
      </c>
      <c r="D42" s="53" t="s">
        <v>265</v>
      </c>
      <c r="E42" s="53" t="s">
        <v>292</v>
      </c>
      <c r="F42" s="54" t="s">
        <v>1212</v>
      </c>
      <c r="G42" s="66" t="s">
        <v>1231</v>
      </c>
      <c r="H42" s="55" t="s">
        <v>1232</v>
      </c>
      <c r="I42" s="54">
        <v>900</v>
      </c>
      <c r="J42" s="56">
        <v>18</v>
      </c>
      <c r="K42" s="57">
        <v>918</v>
      </c>
      <c r="L42" s="58" t="s">
        <v>1079</v>
      </c>
      <c r="M42" s="59" t="s">
        <v>1233</v>
      </c>
      <c r="N42" s="9">
        <v>10095.6072</v>
      </c>
      <c r="O42" s="60">
        <v>878.22</v>
      </c>
      <c r="P42" s="64">
        <f t="shared" si="4"/>
        <v>39.78</v>
      </c>
      <c r="Q42" s="65">
        <f t="shared" si="5"/>
        <v>0.0433333333333333</v>
      </c>
      <c r="R42" s="62"/>
    </row>
    <row r="43" s="19" customFormat="1" ht="40.5" hidden="1" spans="1:18">
      <c r="A43" s="69">
        <v>41</v>
      </c>
      <c r="B43" s="70" t="s">
        <v>1234</v>
      </c>
      <c r="C43" s="71" t="s">
        <v>166</v>
      </c>
      <c r="D43" s="72" t="s">
        <v>1235</v>
      </c>
      <c r="E43" s="72" t="s">
        <v>1236</v>
      </c>
      <c r="F43" s="73" t="s">
        <v>1143</v>
      </c>
      <c r="G43" s="73" t="s">
        <v>1237</v>
      </c>
      <c r="H43" s="74" t="s">
        <v>1238</v>
      </c>
      <c r="I43" s="73">
        <v>230</v>
      </c>
      <c r="J43" s="75">
        <v>4.6</v>
      </c>
      <c r="K43" s="76">
        <v>234.6</v>
      </c>
      <c r="L43" s="75" t="s">
        <v>1079</v>
      </c>
      <c r="M43" s="77" t="s">
        <v>1239</v>
      </c>
      <c r="N43" s="69">
        <v>2834.797</v>
      </c>
      <c r="O43" s="78">
        <v>211.7</v>
      </c>
      <c r="P43" s="69"/>
      <c r="Q43" s="69"/>
      <c r="R43" s="79" t="s">
        <v>1081</v>
      </c>
    </row>
    <row r="44" s="19" customFormat="1" ht="40.5" hidden="1" spans="1:18">
      <c r="A44" s="69">
        <v>42</v>
      </c>
      <c r="B44" s="70" t="s">
        <v>1240</v>
      </c>
      <c r="C44" s="71" t="s">
        <v>166</v>
      </c>
      <c r="D44" s="72" t="s">
        <v>1235</v>
      </c>
      <c r="E44" s="72" t="s">
        <v>1241</v>
      </c>
      <c r="F44" s="73" t="s">
        <v>1143</v>
      </c>
      <c r="G44" s="73" t="s">
        <v>1242</v>
      </c>
      <c r="H44" s="74" t="s">
        <v>1238</v>
      </c>
      <c r="I44" s="73">
        <v>240</v>
      </c>
      <c r="J44" s="75">
        <v>4.8</v>
      </c>
      <c r="K44" s="76">
        <v>244.8</v>
      </c>
      <c r="L44" s="75" t="s">
        <v>1079</v>
      </c>
      <c r="M44" s="77" t="s">
        <v>1239</v>
      </c>
      <c r="N44" s="69">
        <v>1798.6</v>
      </c>
      <c r="O44" s="78">
        <v>232.1</v>
      </c>
      <c r="P44" s="80">
        <f t="shared" ref="P44:P46" si="6">K44-O44</f>
        <v>12.7</v>
      </c>
      <c r="Q44" s="81">
        <f t="shared" ref="Q44:Q46" si="7">(K44-O44)/K44</f>
        <v>0.0518790849673203</v>
      </c>
      <c r="R44" s="82" t="s">
        <v>1243</v>
      </c>
    </row>
    <row r="45" s="19" customFormat="1" ht="40.5" hidden="1" spans="1:18">
      <c r="A45" s="69">
        <v>43</v>
      </c>
      <c r="B45" s="70" t="s">
        <v>1244</v>
      </c>
      <c r="C45" s="71" t="s">
        <v>166</v>
      </c>
      <c r="D45" s="72" t="s">
        <v>1235</v>
      </c>
      <c r="E45" s="72" t="s">
        <v>1245</v>
      </c>
      <c r="F45" s="73" t="s">
        <v>1143</v>
      </c>
      <c r="G45" s="73" t="s">
        <v>1246</v>
      </c>
      <c r="H45" s="74" t="s">
        <v>1238</v>
      </c>
      <c r="I45" s="75">
        <v>250</v>
      </c>
      <c r="J45" s="75">
        <v>5</v>
      </c>
      <c r="K45" s="76">
        <v>255</v>
      </c>
      <c r="L45" s="75" t="s">
        <v>1079</v>
      </c>
      <c r="M45" s="77" t="s">
        <v>1239</v>
      </c>
      <c r="N45" s="69">
        <v>3464.7639</v>
      </c>
      <c r="O45" s="78">
        <v>256.376</v>
      </c>
      <c r="P45" s="80">
        <f t="shared" si="6"/>
        <v>-1.37599999999998</v>
      </c>
      <c r="Q45" s="81">
        <f t="shared" si="7"/>
        <v>-0.00539607843137246</v>
      </c>
      <c r="R45" s="82" t="s">
        <v>1243</v>
      </c>
    </row>
    <row r="46" s="19" customFormat="1" ht="40.5" hidden="1" spans="1:18">
      <c r="A46" s="69">
        <v>44</v>
      </c>
      <c r="B46" s="70" t="s">
        <v>1247</v>
      </c>
      <c r="C46" s="71" t="s">
        <v>166</v>
      </c>
      <c r="D46" s="72" t="s">
        <v>1235</v>
      </c>
      <c r="E46" s="72" t="s">
        <v>1142</v>
      </c>
      <c r="F46" s="73" t="s">
        <v>1143</v>
      </c>
      <c r="G46" s="73" t="s">
        <v>1248</v>
      </c>
      <c r="H46" s="74" t="s">
        <v>1238</v>
      </c>
      <c r="I46" s="75">
        <v>275</v>
      </c>
      <c r="J46" s="75">
        <v>5.5</v>
      </c>
      <c r="K46" s="76">
        <v>280.5</v>
      </c>
      <c r="L46" s="75" t="s">
        <v>1079</v>
      </c>
      <c r="M46" s="77" t="s">
        <v>1239</v>
      </c>
      <c r="N46" s="69">
        <v>19098.9493</v>
      </c>
      <c r="O46" s="78">
        <v>272.594</v>
      </c>
      <c r="P46" s="80">
        <f t="shared" si="6"/>
        <v>7.90600000000001</v>
      </c>
      <c r="Q46" s="81">
        <f t="shared" si="7"/>
        <v>0.0281853832442068</v>
      </c>
      <c r="R46" s="82" t="s">
        <v>1159</v>
      </c>
    </row>
    <row r="47" ht="40.5" hidden="1" spans="1:18">
      <c r="A47" s="9">
        <v>45</v>
      </c>
      <c r="B47" s="61" t="s">
        <v>1249</v>
      </c>
      <c r="C47" s="52" t="s">
        <v>166</v>
      </c>
      <c r="D47" s="62" t="s">
        <v>1235</v>
      </c>
      <c r="E47" s="62" t="s">
        <v>1148</v>
      </c>
      <c r="F47" s="54" t="s">
        <v>1143</v>
      </c>
      <c r="G47" s="54" t="s">
        <v>1250</v>
      </c>
      <c r="H47" s="63" t="s">
        <v>1251</v>
      </c>
      <c r="I47" s="56">
        <v>310</v>
      </c>
      <c r="J47" s="56">
        <v>6.2</v>
      </c>
      <c r="K47" s="57">
        <v>316.2</v>
      </c>
      <c r="L47" s="58" t="s">
        <v>723</v>
      </c>
      <c r="M47" s="59" t="s">
        <v>1239</v>
      </c>
      <c r="N47" s="9">
        <v>0</v>
      </c>
      <c r="O47" s="60"/>
      <c r="P47" s="9"/>
      <c r="Q47" s="9"/>
      <c r="R47" s="15" t="s">
        <v>1081</v>
      </c>
    </row>
    <row r="48" s="19" customFormat="1" ht="40.5" hidden="1" spans="1:18">
      <c r="A48" s="69">
        <v>46</v>
      </c>
      <c r="B48" s="70" t="s">
        <v>1252</v>
      </c>
      <c r="C48" s="71" t="s">
        <v>166</v>
      </c>
      <c r="D48" s="72" t="s">
        <v>1235</v>
      </c>
      <c r="E48" s="72" t="s">
        <v>1253</v>
      </c>
      <c r="F48" s="73" t="s">
        <v>1143</v>
      </c>
      <c r="G48" s="73" t="s">
        <v>1254</v>
      </c>
      <c r="H48" s="74" t="s">
        <v>1255</v>
      </c>
      <c r="I48" s="75">
        <v>160</v>
      </c>
      <c r="J48" s="75">
        <v>3.2</v>
      </c>
      <c r="K48" s="76">
        <v>163.2</v>
      </c>
      <c r="L48" s="75" t="s">
        <v>1079</v>
      </c>
      <c r="M48" s="77" t="s">
        <v>1239</v>
      </c>
      <c r="N48" s="69">
        <v>63.9</v>
      </c>
      <c r="O48" s="78">
        <v>115.96</v>
      </c>
      <c r="P48" s="69"/>
      <c r="Q48" s="69"/>
      <c r="R48" s="79" t="s">
        <v>1081</v>
      </c>
    </row>
    <row r="49" ht="40.5" hidden="1" spans="1:18">
      <c r="A49" s="9">
        <v>47</v>
      </c>
      <c r="B49" s="61" t="s">
        <v>1256</v>
      </c>
      <c r="C49" s="52" t="s">
        <v>166</v>
      </c>
      <c r="D49" s="62" t="s">
        <v>1235</v>
      </c>
      <c r="E49" s="62" t="s">
        <v>1257</v>
      </c>
      <c r="F49" s="54" t="s">
        <v>1143</v>
      </c>
      <c r="G49" s="83" t="s">
        <v>1258</v>
      </c>
      <c r="H49" s="63" t="s">
        <v>1255</v>
      </c>
      <c r="I49" s="56">
        <v>170</v>
      </c>
      <c r="J49" s="56">
        <v>3.4</v>
      </c>
      <c r="K49" s="57">
        <v>173.4</v>
      </c>
      <c r="L49" s="58" t="s">
        <v>723</v>
      </c>
      <c r="M49" s="59" t="s">
        <v>1239</v>
      </c>
      <c r="N49" s="9">
        <v>12</v>
      </c>
      <c r="O49" s="60"/>
      <c r="P49" s="9"/>
      <c r="Q49" s="9"/>
      <c r="R49" s="15" t="s">
        <v>1081</v>
      </c>
    </row>
    <row r="50" ht="67.5" hidden="1" spans="1:18">
      <c r="A50" s="9">
        <v>48</v>
      </c>
      <c r="B50" s="51" t="s">
        <v>1259</v>
      </c>
      <c r="C50" s="52" t="s">
        <v>166</v>
      </c>
      <c r="D50" s="53" t="s">
        <v>1235</v>
      </c>
      <c r="E50" s="53" t="s">
        <v>1260</v>
      </c>
      <c r="F50" s="54" t="s">
        <v>1143</v>
      </c>
      <c r="G50" s="54" t="s">
        <v>1261</v>
      </c>
      <c r="H50" s="55" t="s">
        <v>1262</v>
      </c>
      <c r="I50" s="57">
        <v>800</v>
      </c>
      <c r="J50" s="57">
        <v>16</v>
      </c>
      <c r="K50" s="57">
        <v>816</v>
      </c>
      <c r="L50" s="58" t="s">
        <v>1079</v>
      </c>
      <c r="M50" s="59" t="s">
        <v>1239</v>
      </c>
      <c r="N50" s="9">
        <v>733.2659</v>
      </c>
      <c r="O50" s="78">
        <v>816</v>
      </c>
      <c r="P50" s="64">
        <f t="shared" ref="P50:P52" si="8">K50-O50</f>
        <v>0</v>
      </c>
      <c r="Q50" s="65">
        <f t="shared" ref="Q50:Q52" si="9">(K50-O50)/K50</f>
        <v>0</v>
      </c>
      <c r="R50" s="62"/>
    </row>
    <row r="51" ht="67.5" hidden="1" spans="1:18">
      <c r="A51" s="9">
        <v>49</v>
      </c>
      <c r="B51" s="51" t="s">
        <v>1263</v>
      </c>
      <c r="C51" s="52" t="s">
        <v>166</v>
      </c>
      <c r="D51" s="53" t="s">
        <v>1235</v>
      </c>
      <c r="E51" s="53" t="s">
        <v>1168</v>
      </c>
      <c r="F51" s="54" t="s">
        <v>1143</v>
      </c>
      <c r="G51" s="54" t="s">
        <v>1264</v>
      </c>
      <c r="H51" s="55" t="s">
        <v>1265</v>
      </c>
      <c r="I51" s="57">
        <v>818</v>
      </c>
      <c r="J51" s="57">
        <v>20</v>
      </c>
      <c r="K51" s="57">
        <v>838</v>
      </c>
      <c r="L51" s="58" t="s">
        <v>1079</v>
      </c>
      <c r="M51" s="59" t="s">
        <v>1239</v>
      </c>
      <c r="N51" s="9">
        <v>3627.4041</v>
      </c>
      <c r="O51" s="78">
        <v>867</v>
      </c>
      <c r="P51" s="64">
        <f t="shared" si="8"/>
        <v>-29</v>
      </c>
      <c r="Q51" s="65">
        <f t="shared" si="9"/>
        <v>-0.0346062052505967</v>
      </c>
      <c r="R51" s="62"/>
    </row>
    <row r="52" ht="67.5" hidden="1" spans="1:18">
      <c r="A52" s="9">
        <v>50</v>
      </c>
      <c r="B52" s="61" t="s">
        <v>1266</v>
      </c>
      <c r="C52" s="52" t="s">
        <v>166</v>
      </c>
      <c r="D52" s="62" t="s">
        <v>1235</v>
      </c>
      <c r="E52" s="62" t="s">
        <v>1172</v>
      </c>
      <c r="F52" s="54" t="s">
        <v>1143</v>
      </c>
      <c r="G52" s="54" t="s">
        <v>1267</v>
      </c>
      <c r="H52" s="63" t="s">
        <v>1265</v>
      </c>
      <c r="I52" s="57">
        <v>842.1</v>
      </c>
      <c r="J52" s="57">
        <v>20</v>
      </c>
      <c r="K52" s="57">
        <v>862.1</v>
      </c>
      <c r="L52" s="58" t="s">
        <v>723</v>
      </c>
      <c r="M52" s="59" t="s">
        <v>1239</v>
      </c>
      <c r="N52" s="9">
        <v>0</v>
      </c>
      <c r="O52" s="60">
        <v>1066</v>
      </c>
      <c r="P52" s="64">
        <f t="shared" si="8"/>
        <v>-203.9</v>
      </c>
      <c r="Q52" s="65">
        <f t="shared" si="9"/>
        <v>-0.236515485442524</v>
      </c>
      <c r="R52" s="62"/>
    </row>
    <row r="53" ht="67.5" hidden="1" spans="1:18">
      <c r="A53" s="9">
        <v>51</v>
      </c>
      <c r="B53" s="61" t="s">
        <v>1268</v>
      </c>
      <c r="C53" s="52" t="s">
        <v>166</v>
      </c>
      <c r="D53" s="62" t="s">
        <v>1235</v>
      </c>
      <c r="E53" s="62" t="s">
        <v>1269</v>
      </c>
      <c r="F53" s="54" t="s">
        <v>1143</v>
      </c>
      <c r="G53" s="54" t="s">
        <v>1270</v>
      </c>
      <c r="H53" s="63" t="s">
        <v>1271</v>
      </c>
      <c r="I53" s="57">
        <v>700</v>
      </c>
      <c r="J53" s="57">
        <v>14</v>
      </c>
      <c r="K53" s="57">
        <v>714</v>
      </c>
      <c r="L53" s="58" t="s">
        <v>723</v>
      </c>
      <c r="M53" s="59" t="s">
        <v>1239</v>
      </c>
      <c r="N53" s="9">
        <v>4.8</v>
      </c>
      <c r="O53" s="60"/>
      <c r="P53" s="9"/>
      <c r="Q53" s="9"/>
      <c r="R53" s="15" t="s">
        <v>1081</v>
      </c>
    </row>
    <row r="54" ht="67.5" hidden="1" spans="1:18">
      <c r="A54" s="9">
        <v>52</v>
      </c>
      <c r="B54" s="61" t="s">
        <v>1272</v>
      </c>
      <c r="C54" s="52" t="s">
        <v>166</v>
      </c>
      <c r="D54" s="62" t="s">
        <v>1235</v>
      </c>
      <c r="E54" s="62" t="s">
        <v>1178</v>
      </c>
      <c r="F54" s="54" t="s">
        <v>1143</v>
      </c>
      <c r="G54" s="54" t="s">
        <v>1273</v>
      </c>
      <c r="H54" s="63" t="s">
        <v>1274</v>
      </c>
      <c r="I54" s="57">
        <v>730</v>
      </c>
      <c r="J54" s="57">
        <v>14.6</v>
      </c>
      <c r="K54" s="57">
        <v>744.6</v>
      </c>
      <c r="L54" s="58" t="s">
        <v>723</v>
      </c>
      <c r="M54" s="59" t="s">
        <v>1239</v>
      </c>
      <c r="N54" s="9">
        <v>7.4</v>
      </c>
      <c r="O54" s="60"/>
      <c r="P54" s="9"/>
      <c r="Q54" s="9"/>
      <c r="R54" s="15" t="s">
        <v>1081</v>
      </c>
    </row>
    <row r="55" ht="67.5" hidden="1" spans="1:18">
      <c r="A55" s="9">
        <v>53</v>
      </c>
      <c r="B55" s="61" t="s">
        <v>1275</v>
      </c>
      <c r="C55" s="52" t="s">
        <v>166</v>
      </c>
      <c r="D55" s="62" t="s">
        <v>1235</v>
      </c>
      <c r="E55" s="62" t="s">
        <v>1182</v>
      </c>
      <c r="F55" s="54" t="s">
        <v>1143</v>
      </c>
      <c r="G55" s="54" t="s">
        <v>1276</v>
      </c>
      <c r="H55" s="63" t="s">
        <v>1274</v>
      </c>
      <c r="I55" s="57">
        <v>750</v>
      </c>
      <c r="J55" s="57">
        <v>15</v>
      </c>
      <c r="K55" s="57">
        <v>765</v>
      </c>
      <c r="L55" s="58" t="s">
        <v>723</v>
      </c>
      <c r="M55" s="59" t="s">
        <v>1239</v>
      </c>
      <c r="N55" s="9">
        <v>0</v>
      </c>
      <c r="O55" s="60"/>
      <c r="P55" s="9"/>
      <c r="Q55" s="9"/>
      <c r="R55" s="15" t="s">
        <v>1081</v>
      </c>
    </row>
    <row r="56" ht="40.5" hidden="1" spans="1:18">
      <c r="A56" s="9">
        <v>54</v>
      </c>
      <c r="B56" s="61" t="s">
        <v>1277</v>
      </c>
      <c r="C56" s="52" t="s">
        <v>166</v>
      </c>
      <c r="D56" s="62" t="s">
        <v>1235</v>
      </c>
      <c r="E56" s="62" t="s">
        <v>1278</v>
      </c>
      <c r="F56" s="54" t="s">
        <v>1143</v>
      </c>
      <c r="G56" s="54" t="s">
        <v>1279</v>
      </c>
      <c r="H56" s="63" t="s">
        <v>1280</v>
      </c>
      <c r="I56" s="57">
        <v>2008.61</v>
      </c>
      <c r="J56" s="57">
        <v>53.42</v>
      </c>
      <c r="K56" s="57">
        <v>2062.03</v>
      </c>
      <c r="L56" s="58" t="s">
        <v>723</v>
      </c>
      <c r="M56" s="59"/>
      <c r="N56" s="9">
        <v>0</v>
      </c>
      <c r="O56" s="60">
        <v>4887</v>
      </c>
      <c r="P56" s="64">
        <f t="shared" ref="P56:P59" si="10">K56-O56</f>
        <v>-2824.97</v>
      </c>
      <c r="Q56" s="65">
        <f t="shared" ref="Q56:Q59" si="11">(K56-O56)/K56</f>
        <v>-1.36999461695514</v>
      </c>
      <c r="R56" s="62" t="s">
        <v>1191</v>
      </c>
    </row>
    <row r="57" ht="40.5" hidden="1" spans="1:18">
      <c r="A57" s="9">
        <v>55</v>
      </c>
      <c r="B57" s="51" t="s">
        <v>1281</v>
      </c>
      <c r="C57" s="52" t="s">
        <v>166</v>
      </c>
      <c r="D57" s="53" t="s">
        <v>1235</v>
      </c>
      <c r="E57" s="53" t="s">
        <v>1282</v>
      </c>
      <c r="F57" s="54" t="s">
        <v>1143</v>
      </c>
      <c r="G57" s="54" t="s">
        <v>1283</v>
      </c>
      <c r="H57" s="55" t="s">
        <v>1284</v>
      </c>
      <c r="I57" s="57">
        <v>201.6</v>
      </c>
      <c r="J57" s="57">
        <v>6.1</v>
      </c>
      <c r="K57" s="57">
        <v>207.7</v>
      </c>
      <c r="L57" s="58" t="s">
        <v>1079</v>
      </c>
      <c r="M57" s="59" t="s">
        <v>1239</v>
      </c>
      <c r="N57" s="9">
        <v>1003.3</v>
      </c>
      <c r="O57" s="78">
        <v>632.4</v>
      </c>
      <c r="P57" s="64">
        <f t="shared" si="10"/>
        <v>-424.7</v>
      </c>
      <c r="Q57" s="65">
        <f t="shared" si="11"/>
        <v>-2.04477611940298</v>
      </c>
      <c r="R57" s="62"/>
    </row>
    <row r="58" ht="40.5" hidden="1" spans="1:18">
      <c r="A58" s="9">
        <v>56</v>
      </c>
      <c r="B58" s="51" t="s">
        <v>1285</v>
      </c>
      <c r="C58" s="52" t="s">
        <v>166</v>
      </c>
      <c r="D58" s="53" t="s">
        <v>1235</v>
      </c>
      <c r="E58" s="53" t="s">
        <v>1197</v>
      </c>
      <c r="F58" s="54" t="s">
        <v>1143</v>
      </c>
      <c r="G58" s="54" t="s">
        <v>1286</v>
      </c>
      <c r="H58" s="55" t="s">
        <v>1284</v>
      </c>
      <c r="I58" s="57">
        <v>220.2</v>
      </c>
      <c r="J58" s="57">
        <v>6.1</v>
      </c>
      <c r="K58" s="57">
        <v>226.3</v>
      </c>
      <c r="L58" s="58" t="s">
        <v>1079</v>
      </c>
      <c r="M58" s="59" t="s">
        <v>1239</v>
      </c>
      <c r="N58" s="9">
        <v>5547.1001</v>
      </c>
      <c r="O58" s="78">
        <v>661</v>
      </c>
      <c r="P58" s="64">
        <f t="shared" si="10"/>
        <v>-434.7</v>
      </c>
      <c r="Q58" s="65">
        <f t="shared" si="11"/>
        <v>-1.92090145824127</v>
      </c>
      <c r="R58" s="62"/>
    </row>
    <row r="59" ht="40.5" hidden="1" spans="1:18">
      <c r="A59" s="9">
        <v>57</v>
      </c>
      <c r="B59" s="61" t="s">
        <v>1287</v>
      </c>
      <c r="C59" s="52" t="s">
        <v>166</v>
      </c>
      <c r="D59" s="62" t="s">
        <v>1235</v>
      </c>
      <c r="E59" s="62" t="s">
        <v>1201</v>
      </c>
      <c r="F59" s="54" t="s">
        <v>1143</v>
      </c>
      <c r="G59" s="54" t="s">
        <v>1288</v>
      </c>
      <c r="H59" s="63" t="s">
        <v>1284</v>
      </c>
      <c r="I59" s="57">
        <v>243.6</v>
      </c>
      <c r="J59" s="57">
        <v>6.1</v>
      </c>
      <c r="K59" s="57">
        <v>249.7</v>
      </c>
      <c r="L59" s="58" t="s">
        <v>723</v>
      </c>
      <c r="M59" s="59" t="s">
        <v>1239</v>
      </c>
      <c r="N59" s="9">
        <v>0</v>
      </c>
      <c r="O59" s="60">
        <v>685</v>
      </c>
      <c r="P59" s="64">
        <f t="shared" si="10"/>
        <v>-435.3</v>
      </c>
      <c r="Q59" s="65">
        <f t="shared" si="11"/>
        <v>-1.74329195034041</v>
      </c>
      <c r="R59" s="62"/>
    </row>
    <row r="60" ht="54" hidden="1" spans="1:18">
      <c r="A60" s="9">
        <v>58</v>
      </c>
      <c r="B60" s="61" t="s">
        <v>1289</v>
      </c>
      <c r="C60" s="52" t="s">
        <v>166</v>
      </c>
      <c r="D60" s="62" t="s">
        <v>1235</v>
      </c>
      <c r="E60" s="62" t="s">
        <v>1290</v>
      </c>
      <c r="F60" s="54" t="s">
        <v>1143</v>
      </c>
      <c r="G60" s="54" t="s">
        <v>1291</v>
      </c>
      <c r="H60" s="63" t="s">
        <v>1292</v>
      </c>
      <c r="I60" s="57">
        <v>119.4</v>
      </c>
      <c r="J60" s="57">
        <v>6.1</v>
      </c>
      <c r="K60" s="57">
        <v>125.5</v>
      </c>
      <c r="L60" s="58" t="s">
        <v>723</v>
      </c>
      <c r="M60" s="59" t="s">
        <v>1239</v>
      </c>
      <c r="N60" s="9">
        <v>0</v>
      </c>
      <c r="O60" s="60"/>
      <c r="P60" s="9"/>
      <c r="Q60" s="9"/>
      <c r="R60" s="15" t="s">
        <v>1081</v>
      </c>
    </row>
    <row r="61" ht="27" hidden="1" spans="1:18">
      <c r="A61" s="9">
        <v>59</v>
      </c>
      <c r="B61" s="51" t="s">
        <v>1293</v>
      </c>
      <c r="C61" s="52" t="s">
        <v>166</v>
      </c>
      <c r="D61" s="53" t="s">
        <v>1294</v>
      </c>
      <c r="E61" s="53" t="s">
        <v>1241</v>
      </c>
      <c r="F61" s="54" t="s">
        <v>196</v>
      </c>
      <c r="G61" s="54" t="s">
        <v>1295</v>
      </c>
      <c r="H61" s="55" t="s">
        <v>1238</v>
      </c>
      <c r="I61" s="56">
        <v>32</v>
      </c>
      <c r="J61" s="56">
        <v>0.64</v>
      </c>
      <c r="K61" s="57">
        <v>32.64</v>
      </c>
      <c r="L61" s="58" t="s">
        <v>1079</v>
      </c>
      <c r="M61" s="59" t="s">
        <v>1239</v>
      </c>
      <c r="N61" s="9">
        <v>28275.8</v>
      </c>
      <c r="O61" s="78">
        <v>32.9</v>
      </c>
      <c r="P61" s="64">
        <f>K61-O61</f>
        <v>-0.259999999999998</v>
      </c>
      <c r="Q61" s="65">
        <f>(K61-O61)/K61</f>
        <v>-0.00796568627450974</v>
      </c>
      <c r="R61" s="15"/>
    </row>
    <row r="62" ht="40.5" hidden="1" spans="1:18">
      <c r="A62" s="9">
        <v>60</v>
      </c>
      <c r="B62" s="51" t="s">
        <v>1296</v>
      </c>
      <c r="C62" s="52" t="s">
        <v>166</v>
      </c>
      <c r="D62" s="53" t="s">
        <v>1294</v>
      </c>
      <c r="E62" s="53" t="s">
        <v>1245</v>
      </c>
      <c r="F62" s="54" t="s">
        <v>1143</v>
      </c>
      <c r="G62" s="54" t="s">
        <v>1297</v>
      </c>
      <c r="H62" s="55" t="s">
        <v>1298</v>
      </c>
      <c r="I62" s="56">
        <v>370</v>
      </c>
      <c r="J62" s="56">
        <v>7.4</v>
      </c>
      <c r="K62" s="57">
        <v>377.4</v>
      </c>
      <c r="L62" s="58" t="s">
        <v>1079</v>
      </c>
      <c r="M62" s="59" t="s">
        <v>1239</v>
      </c>
      <c r="N62" s="9">
        <v>11935.0561</v>
      </c>
      <c r="O62" s="78">
        <v>344.3</v>
      </c>
      <c r="P62" s="64">
        <f t="shared" ref="P62:P66" si="12">K62-O62</f>
        <v>33.1</v>
      </c>
      <c r="Q62" s="65">
        <f t="shared" ref="Q62:Q66" si="13">(K62-O62)/K62</f>
        <v>0.0877053524112347</v>
      </c>
      <c r="R62" s="62" t="s">
        <v>1299</v>
      </c>
    </row>
    <row r="63" ht="40.5" hidden="1" spans="1:18">
      <c r="A63" s="9">
        <v>61</v>
      </c>
      <c r="B63" s="51" t="s">
        <v>1300</v>
      </c>
      <c r="C63" s="52" t="s">
        <v>166</v>
      </c>
      <c r="D63" s="53" t="s">
        <v>1294</v>
      </c>
      <c r="E63" s="53" t="s">
        <v>1142</v>
      </c>
      <c r="F63" s="54" t="s">
        <v>1143</v>
      </c>
      <c r="G63" s="54" t="s">
        <v>1301</v>
      </c>
      <c r="H63" s="55" t="s">
        <v>1298</v>
      </c>
      <c r="I63" s="56">
        <v>420</v>
      </c>
      <c r="J63" s="56">
        <v>8.4</v>
      </c>
      <c r="K63" s="57">
        <v>428.4</v>
      </c>
      <c r="L63" s="58" t="s">
        <v>1079</v>
      </c>
      <c r="M63" s="59" t="s">
        <v>1239</v>
      </c>
      <c r="N63" s="9">
        <v>69850.5515</v>
      </c>
      <c r="O63" s="78">
        <v>374.9</v>
      </c>
      <c r="P63" s="64">
        <f t="shared" si="12"/>
        <v>53.5</v>
      </c>
      <c r="Q63" s="65">
        <f t="shared" si="13"/>
        <v>0.124883286647993</v>
      </c>
      <c r="R63" s="62" t="s">
        <v>1302</v>
      </c>
    </row>
    <row r="64" ht="40.5" hidden="1" spans="1:18">
      <c r="A64" s="9">
        <v>62</v>
      </c>
      <c r="B64" s="51" t="s">
        <v>1303</v>
      </c>
      <c r="C64" s="52" t="s">
        <v>166</v>
      </c>
      <c r="D64" s="53" t="s">
        <v>1294</v>
      </c>
      <c r="E64" s="53" t="s">
        <v>1148</v>
      </c>
      <c r="F64" s="54" t="s">
        <v>1143</v>
      </c>
      <c r="G64" s="54" t="s">
        <v>1304</v>
      </c>
      <c r="H64" s="55" t="s">
        <v>1298</v>
      </c>
      <c r="I64" s="56">
        <v>470</v>
      </c>
      <c r="J64" s="56">
        <v>9.4</v>
      </c>
      <c r="K64" s="57">
        <v>479.4</v>
      </c>
      <c r="L64" s="58" t="s">
        <v>1079</v>
      </c>
      <c r="M64" s="59" t="s">
        <v>1239</v>
      </c>
      <c r="N64" s="9">
        <v>198.9</v>
      </c>
      <c r="O64" s="78">
        <v>527.1</v>
      </c>
      <c r="P64" s="64">
        <f t="shared" si="12"/>
        <v>-47.7</v>
      </c>
      <c r="Q64" s="65">
        <f t="shared" si="13"/>
        <v>-0.0994993742177723</v>
      </c>
      <c r="R64" s="62" t="s">
        <v>1305</v>
      </c>
    </row>
    <row r="65" ht="40.5" hidden="1" spans="1:18">
      <c r="A65" s="9">
        <v>63</v>
      </c>
      <c r="B65" s="51" t="s">
        <v>1306</v>
      </c>
      <c r="C65" s="52" t="s">
        <v>166</v>
      </c>
      <c r="D65" s="53" t="s">
        <v>1294</v>
      </c>
      <c r="E65" s="53" t="s">
        <v>1152</v>
      </c>
      <c r="F65" s="54" t="s">
        <v>1143</v>
      </c>
      <c r="G65" s="54" t="s">
        <v>1307</v>
      </c>
      <c r="H65" s="55" t="s">
        <v>1298</v>
      </c>
      <c r="I65" s="56">
        <v>600</v>
      </c>
      <c r="J65" s="56">
        <v>12</v>
      </c>
      <c r="K65" s="57">
        <v>612</v>
      </c>
      <c r="L65" s="58" t="s">
        <v>1079</v>
      </c>
      <c r="M65" s="59" t="s">
        <v>1239</v>
      </c>
      <c r="N65" s="9">
        <v>262.3</v>
      </c>
      <c r="O65" s="78">
        <v>690.1</v>
      </c>
      <c r="P65" s="64">
        <f t="shared" si="12"/>
        <v>-78.1</v>
      </c>
      <c r="Q65" s="65">
        <f t="shared" si="13"/>
        <v>-0.127614379084967</v>
      </c>
      <c r="R65" s="62" t="s">
        <v>1308</v>
      </c>
    </row>
    <row r="66" ht="40.5" hidden="1" spans="1:18">
      <c r="A66" s="9">
        <v>64</v>
      </c>
      <c r="B66" s="61" t="s">
        <v>1309</v>
      </c>
      <c r="C66" s="52" t="s">
        <v>166</v>
      </c>
      <c r="D66" s="62" t="s">
        <v>1294</v>
      </c>
      <c r="E66" s="62" t="s">
        <v>1310</v>
      </c>
      <c r="F66" s="54" t="s">
        <v>1143</v>
      </c>
      <c r="G66" s="54" t="s">
        <v>1311</v>
      </c>
      <c r="H66" s="63" t="s">
        <v>1255</v>
      </c>
      <c r="I66" s="56">
        <v>250</v>
      </c>
      <c r="J66" s="56">
        <v>5</v>
      </c>
      <c r="K66" s="57">
        <v>255</v>
      </c>
      <c r="L66" s="58" t="s">
        <v>723</v>
      </c>
      <c r="M66" s="59" t="s">
        <v>1239</v>
      </c>
      <c r="N66" s="9">
        <v>10.6</v>
      </c>
      <c r="O66" s="60">
        <v>289</v>
      </c>
      <c r="P66" s="64">
        <f t="shared" si="12"/>
        <v>-34</v>
      </c>
      <c r="Q66" s="65">
        <f t="shared" si="13"/>
        <v>-0.133333333333333</v>
      </c>
      <c r="R66" s="62" t="s">
        <v>1243</v>
      </c>
    </row>
    <row r="67" ht="40.5" hidden="1" spans="1:18">
      <c r="A67" s="9">
        <v>65</v>
      </c>
      <c r="B67" s="61" t="s">
        <v>1312</v>
      </c>
      <c r="C67" s="52" t="s">
        <v>166</v>
      </c>
      <c r="D67" s="62" t="s">
        <v>1294</v>
      </c>
      <c r="E67" s="62" t="s">
        <v>1156</v>
      </c>
      <c r="F67" s="54" t="s">
        <v>1143</v>
      </c>
      <c r="G67" s="54" t="s">
        <v>1313</v>
      </c>
      <c r="H67" s="63" t="s">
        <v>1255</v>
      </c>
      <c r="I67" s="56">
        <v>260</v>
      </c>
      <c r="J67" s="56">
        <v>5.2</v>
      </c>
      <c r="K67" s="57">
        <v>265.2</v>
      </c>
      <c r="L67" s="58" t="s">
        <v>723</v>
      </c>
      <c r="M67" s="59" t="s">
        <v>1239</v>
      </c>
      <c r="N67" s="9">
        <v>19.6</v>
      </c>
      <c r="O67" s="60"/>
      <c r="P67" s="9"/>
      <c r="Q67" s="9"/>
      <c r="R67" s="15" t="s">
        <v>1081</v>
      </c>
    </row>
    <row r="68" ht="40.5" hidden="1" spans="1:18">
      <c r="A68" s="9">
        <v>66</v>
      </c>
      <c r="B68" s="61" t="s">
        <v>1314</v>
      </c>
      <c r="C68" s="52" t="s">
        <v>166</v>
      </c>
      <c r="D68" s="62" t="s">
        <v>1294</v>
      </c>
      <c r="E68" s="62" t="s">
        <v>1161</v>
      </c>
      <c r="F68" s="54" t="s">
        <v>1143</v>
      </c>
      <c r="G68" s="54" t="s">
        <v>1315</v>
      </c>
      <c r="H68" s="63" t="s">
        <v>1316</v>
      </c>
      <c r="I68" s="56">
        <v>270</v>
      </c>
      <c r="J68" s="56">
        <v>5.4</v>
      </c>
      <c r="K68" s="57">
        <v>275.4</v>
      </c>
      <c r="L68" s="58" t="s">
        <v>723</v>
      </c>
      <c r="M68" s="59" t="s">
        <v>1239</v>
      </c>
      <c r="N68" s="9">
        <v>0</v>
      </c>
      <c r="O68" s="60"/>
      <c r="P68" s="9"/>
      <c r="Q68" s="9"/>
      <c r="R68" s="15" t="s">
        <v>1081</v>
      </c>
    </row>
    <row r="69" ht="40.5" hidden="1" spans="1:18">
      <c r="A69" s="9">
        <v>67</v>
      </c>
      <c r="B69" s="61" t="s">
        <v>1317</v>
      </c>
      <c r="C69" s="52" t="s">
        <v>166</v>
      </c>
      <c r="D69" s="62" t="s">
        <v>1294</v>
      </c>
      <c r="E69" s="62" t="s">
        <v>1165</v>
      </c>
      <c r="F69" s="54" t="s">
        <v>1143</v>
      </c>
      <c r="G69" s="54" t="s">
        <v>1318</v>
      </c>
      <c r="H69" s="63" t="s">
        <v>1255</v>
      </c>
      <c r="I69" s="56">
        <v>280</v>
      </c>
      <c r="J69" s="56">
        <v>5.6</v>
      </c>
      <c r="K69" s="57">
        <v>285.6</v>
      </c>
      <c r="L69" s="58" t="s">
        <v>723</v>
      </c>
      <c r="M69" s="59" t="s">
        <v>1239</v>
      </c>
      <c r="N69" s="9">
        <v>0</v>
      </c>
      <c r="O69" s="60">
        <v>552.9</v>
      </c>
      <c r="P69" s="64">
        <f t="shared" ref="P69:P73" si="14">K69-O69</f>
        <v>-267.3</v>
      </c>
      <c r="Q69" s="65">
        <f t="shared" ref="Q69:Q73" si="15">(K69-O69)/K69</f>
        <v>-0.935924369747899</v>
      </c>
      <c r="R69" s="62" t="s">
        <v>1159</v>
      </c>
    </row>
    <row r="70" ht="67.5" hidden="1" spans="1:18">
      <c r="A70" s="9">
        <v>68</v>
      </c>
      <c r="B70" s="51" t="s">
        <v>1319</v>
      </c>
      <c r="C70" s="52" t="s">
        <v>166</v>
      </c>
      <c r="D70" s="53" t="s">
        <v>1294</v>
      </c>
      <c r="E70" s="53" t="s">
        <v>1260</v>
      </c>
      <c r="F70" s="54" t="s">
        <v>1143</v>
      </c>
      <c r="G70" s="54" t="s">
        <v>1320</v>
      </c>
      <c r="H70" s="55" t="s">
        <v>1265</v>
      </c>
      <c r="I70" s="57">
        <v>815.6</v>
      </c>
      <c r="J70" s="57">
        <v>17.2</v>
      </c>
      <c r="K70" s="57">
        <v>832.8</v>
      </c>
      <c r="L70" s="58" t="s">
        <v>1079</v>
      </c>
      <c r="M70" s="59"/>
      <c r="N70" s="9">
        <v>915.262</v>
      </c>
      <c r="O70" s="78">
        <v>918</v>
      </c>
      <c r="P70" s="64">
        <f t="shared" si="14"/>
        <v>-85.2</v>
      </c>
      <c r="Q70" s="65">
        <f t="shared" si="15"/>
        <v>-0.102305475504323</v>
      </c>
      <c r="R70" s="62"/>
    </row>
    <row r="71" ht="67.5" hidden="1" spans="1:18">
      <c r="A71" s="9">
        <v>69</v>
      </c>
      <c r="B71" s="51" t="s">
        <v>1321</v>
      </c>
      <c r="C71" s="52" t="s">
        <v>166</v>
      </c>
      <c r="D71" s="53" t="s">
        <v>1294</v>
      </c>
      <c r="E71" s="53" t="s">
        <v>1168</v>
      </c>
      <c r="F71" s="54" t="s">
        <v>1143</v>
      </c>
      <c r="G71" s="54" t="s">
        <v>1322</v>
      </c>
      <c r="H71" s="55" t="s">
        <v>1265</v>
      </c>
      <c r="I71" s="57">
        <v>887.8</v>
      </c>
      <c r="J71" s="57">
        <v>20.1</v>
      </c>
      <c r="K71" s="57">
        <v>907.9</v>
      </c>
      <c r="L71" s="58" t="s">
        <v>1079</v>
      </c>
      <c r="M71" s="59"/>
      <c r="N71" s="9">
        <v>11063.519</v>
      </c>
      <c r="O71" s="78">
        <v>969</v>
      </c>
      <c r="P71" s="64">
        <f t="shared" si="14"/>
        <v>-61.1</v>
      </c>
      <c r="Q71" s="65">
        <f t="shared" si="15"/>
        <v>-0.0672981605903734</v>
      </c>
      <c r="R71" s="62"/>
    </row>
    <row r="72" ht="67.5" hidden="1" spans="1:18">
      <c r="A72" s="9">
        <v>70</v>
      </c>
      <c r="B72" s="51" t="s">
        <v>1323</v>
      </c>
      <c r="C72" s="52" t="s">
        <v>166</v>
      </c>
      <c r="D72" s="53" t="s">
        <v>1294</v>
      </c>
      <c r="E72" s="53" t="s">
        <v>1172</v>
      </c>
      <c r="F72" s="54" t="s">
        <v>1143</v>
      </c>
      <c r="G72" s="54" t="s">
        <v>1324</v>
      </c>
      <c r="H72" s="55" t="s">
        <v>1265</v>
      </c>
      <c r="I72" s="57">
        <v>931.5</v>
      </c>
      <c r="J72" s="57">
        <v>20.2</v>
      </c>
      <c r="K72" s="57">
        <v>951.7</v>
      </c>
      <c r="L72" s="58" t="s">
        <v>1079</v>
      </c>
      <c r="M72" s="59"/>
      <c r="N72" s="9">
        <v>145.48</v>
      </c>
      <c r="O72" s="78">
        <v>1020</v>
      </c>
      <c r="P72" s="64">
        <f t="shared" si="14"/>
        <v>-68.3</v>
      </c>
      <c r="Q72" s="65">
        <f t="shared" si="15"/>
        <v>-0.0717663129137333</v>
      </c>
      <c r="R72" s="62"/>
    </row>
    <row r="73" ht="67.5" hidden="1" spans="1:18">
      <c r="A73" s="9">
        <v>71</v>
      </c>
      <c r="B73" s="61" t="s">
        <v>1325</v>
      </c>
      <c r="C73" s="52" t="s">
        <v>166</v>
      </c>
      <c r="D73" s="62" t="s">
        <v>1294</v>
      </c>
      <c r="E73" s="62" t="s">
        <v>1326</v>
      </c>
      <c r="F73" s="54" t="s">
        <v>1143</v>
      </c>
      <c r="G73" s="54" t="s">
        <v>1327</v>
      </c>
      <c r="H73" s="63" t="s">
        <v>1265</v>
      </c>
      <c r="I73" s="57">
        <v>1051.1</v>
      </c>
      <c r="J73" s="57">
        <v>20.2</v>
      </c>
      <c r="K73" s="57">
        <v>1071.3</v>
      </c>
      <c r="L73" s="58" t="s">
        <v>723</v>
      </c>
      <c r="M73" s="59"/>
      <c r="N73" s="9">
        <v>0.34</v>
      </c>
      <c r="O73" s="60">
        <v>1295</v>
      </c>
      <c r="P73" s="64">
        <f t="shared" si="14"/>
        <v>-223.7</v>
      </c>
      <c r="Q73" s="65">
        <f t="shared" si="15"/>
        <v>-0.208811724073556</v>
      </c>
      <c r="R73" s="62"/>
    </row>
    <row r="74" ht="54" hidden="1" spans="1:18">
      <c r="A74" s="9">
        <v>72</v>
      </c>
      <c r="B74" s="61" t="s">
        <v>1328</v>
      </c>
      <c r="C74" s="52" t="s">
        <v>166</v>
      </c>
      <c r="D74" s="62" t="s">
        <v>1294</v>
      </c>
      <c r="E74" s="62" t="s">
        <v>1269</v>
      </c>
      <c r="F74" s="54" t="s">
        <v>1143</v>
      </c>
      <c r="G74" s="54" t="s">
        <v>1329</v>
      </c>
      <c r="H74" s="63" t="s">
        <v>1330</v>
      </c>
      <c r="I74" s="57">
        <v>722.1</v>
      </c>
      <c r="J74" s="57">
        <v>20.1</v>
      </c>
      <c r="K74" s="57">
        <v>742.2</v>
      </c>
      <c r="L74" s="58" t="s">
        <v>723</v>
      </c>
      <c r="M74" s="59"/>
      <c r="N74" s="9">
        <v>10.4</v>
      </c>
      <c r="O74" s="60"/>
      <c r="P74" s="9"/>
      <c r="Q74" s="9"/>
      <c r="R74" s="15" t="s">
        <v>1081</v>
      </c>
    </row>
    <row r="75" ht="67.5" hidden="1" spans="1:18">
      <c r="A75" s="9">
        <v>73</v>
      </c>
      <c r="B75" s="61" t="s">
        <v>1331</v>
      </c>
      <c r="C75" s="52" t="s">
        <v>166</v>
      </c>
      <c r="D75" s="62" t="s">
        <v>1294</v>
      </c>
      <c r="E75" s="62" t="s">
        <v>1178</v>
      </c>
      <c r="F75" s="54" t="s">
        <v>1143</v>
      </c>
      <c r="G75" s="54" t="s">
        <v>1332</v>
      </c>
      <c r="H75" s="63" t="s">
        <v>1274</v>
      </c>
      <c r="I75" s="57">
        <v>722.1</v>
      </c>
      <c r="J75" s="57">
        <v>20.1</v>
      </c>
      <c r="K75" s="57">
        <v>742.2</v>
      </c>
      <c r="L75" s="58" t="s">
        <v>723</v>
      </c>
      <c r="M75" s="59"/>
      <c r="N75" s="9">
        <v>7.6</v>
      </c>
      <c r="O75" s="60"/>
      <c r="P75" s="9"/>
      <c r="Q75" s="9"/>
      <c r="R75" s="15" t="s">
        <v>1081</v>
      </c>
    </row>
    <row r="76" ht="67.5" hidden="1" spans="1:18">
      <c r="A76" s="9">
        <v>74</v>
      </c>
      <c r="B76" s="61" t="s">
        <v>1333</v>
      </c>
      <c r="C76" s="52" t="s">
        <v>166</v>
      </c>
      <c r="D76" s="62" t="s">
        <v>1294</v>
      </c>
      <c r="E76" s="62" t="s">
        <v>1182</v>
      </c>
      <c r="F76" s="54" t="s">
        <v>1143</v>
      </c>
      <c r="G76" s="54" t="s">
        <v>1334</v>
      </c>
      <c r="H76" s="63" t="s">
        <v>1335</v>
      </c>
      <c r="I76" s="57">
        <v>722.1</v>
      </c>
      <c r="J76" s="57">
        <v>20.2</v>
      </c>
      <c r="K76" s="57">
        <v>742.3</v>
      </c>
      <c r="L76" s="58" t="s">
        <v>723</v>
      </c>
      <c r="M76" s="59"/>
      <c r="N76" s="9">
        <v>0</v>
      </c>
      <c r="O76" s="60"/>
      <c r="P76" s="9"/>
      <c r="Q76" s="9"/>
      <c r="R76" s="15" t="s">
        <v>1081</v>
      </c>
    </row>
    <row r="77" ht="67.5" hidden="1" spans="1:18">
      <c r="A77" s="9">
        <v>75</v>
      </c>
      <c r="B77" s="61" t="s">
        <v>1336</v>
      </c>
      <c r="C77" s="52" t="s">
        <v>166</v>
      </c>
      <c r="D77" s="62" t="s">
        <v>1294</v>
      </c>
      <c r="E77" s="62" t="s">
        <v>1185</v>
      </c>
      <c r="F77" s="54" t="s">
        <v>1143</v>
      </c>
      <c r="G77" s="54" t="s">
        <v>1337</v>
      </c>
      <c r="H77" s="63" t="s">
        <v>1338</v>
      </c>
      <c r="I77" s="57">
        <v>725.7</v>
      </c>
      <c r="J77" s="57">
        <v>20.2</v>
      </c>
      <c r="K77" s="57">
        <v>745.9</v>
      </c>
      <c r="L77" s="58" t="s">
        <v>723</v>
      </c>
      <c r="M77" s="59"/>
      <c r="N77" s="9">
        <v>0</v>
      </c>
      <c r="O77" s="60"/>
      <c r="P77" s="9"/>
      <c r="Q77" s="9"/>
      <c r="R77" s="15" t="s">
        <v>1081</v>
      </c>
    </row>
    <row r="78" ht="40.5" hidden="1" spans="1:18">
      <c r="A78" s="9">
        <v>76</v>
      </c>
      <c r="B78" s="51" t="s">
        <v>1339</v>
      </c>
      <c r="C78" s="52" t="s">
        <v>166</v>
      </c>
      <c r="D78" s="53" t="s">
        <v>1294</v>
      </c>
      <c r="E78" s="53" t="s">
        <v>1340</v>
      </c>
      <c r="F78" s="54" t="s">
        <v>1143</v>
      </c>
      <c r="G78" s="54" t="s">
        <v>1341</v>
      </c>
      <c r="H78" s="55" t="s">
        <v>1342</v>
      </c>
      <c r="I78" s="57">
        <v>2012.76</v>
      </c>
      <c r="J78" s="57">
        <v>53.42</v>
      </c>
      <c r="K78" s="57">
        <v>2066.18</v>
      </c>
      <c r="L78" s="58" t="s">
        <v>1079</v>
      </c>
      <c r="M78" s="59"/>
      <c r="N78" s="9">
        <v>118.86</v>
      </c>
      <c r="O78" s="78">
        <v>4248.3</v>
      </c>
      <c r="P78" s="64">
        <f t="shared" ref="P78:P83" si="16">K78-O78</f>
        <v>-2182.12</v>
      </c>
      <c r="Q78" s="65">
        <f t="shared" ref="Q78:Q83" si="17">(K78-O78)/K78</f>
        <v>-1.05611321375679</v>
      </c>
      <c r="R78" s="62" t="s">
        <v>1191</v>
      </c>
    </row>
    <row r="79" ht="40.5" hidden="1" spans="1:18">
      <c r="A79" s="9">
        <v>77</v>
      </c>
      <c r="B79" s="61" t="s">
        <v>1343</v>
      </c>
      <c r="C79" s="52" t="s">
        <v>166</v>
      </c>
      <c r="D79" s="62" t="s">
        <v>1294</v>
      </c>
      <c r="E79" s="62" t="s">
        <v>1278</v>
      </c>
      <c r="F79" s="54" t="s">
        <v>1143</v>
      </c>
      <c r="G79" s="54" t="s">
        <v>1344</v>
      </c>
      <c r="H79" s="63" t="s">
        <v>1345</v>
      </c>
      <c r="I79" s="57">
        <v>2016.93</v>
      </c>
      <c r="J79" s="57">
        <v>53.42</v>
      </c>
      <c r="K79" s="57">
        <v>2070.35</v>
      </c>
      <c r="L79" s="58" t="s">
        <v>723</v>
      </c>
      <c r="M79" s="59"/>
      <c r="N79" s="9">
        <v>0</v>
      </c>
      <c r="O79" s="60">
        <v>4983</v>
      </c>
      <c r="P79" s="64">
        <f t="shared" si="16"/>
        <v>-2912.65</v>
      </c>
      <c r="Q79" s="65">
        <f t="shared" si="17"/>
        <v>-1.40683942328592</v>
      </c>
      <c r="R79" s="62" t="s">
        <v>1191</v>
      </c>
    </row>
    <row r="80" ht="40.5" hidden="1" spans="1:18">
      <c r="A80" s="9">
        <v>78</v>
      </c>
      <c r="B80" s="61" t="s">
        <v>1346</v>
      </c>
      <c r="C80" s="52" t="s">
        <v>166</v>
      </c>
      <c r="D80" s="62" t="s">
        <v>1294</v>
      </c>
      <c r="E80" s="62" t="s">
        <v>1347</v>
      </c>
      <c r="F80" s="54" t="s">
        <v>1143</v>
      </c>
      <c r="G80" s="54" t="s">
        <v>1348</v>
      </c>
      <c r="H80" s="63" t="s">
        <v>1342</v>
      </c>
      <c r="I80" s="57">
        <v>2028.73</v>
      </c>
      <c r="J80" s="57">
        <v>53.42</v>
      </c>
      <c r="K80" s="57">
        <v>2082.15</v>
      </c>
      <c r="L80" s="58" t="s">
        <v>723</v>
      </c>
      <c r="M80" s="59"/>
      <c r="N80" s="9">
        <v>5.4</v>
      </c>
      <c r="O80" s="60">
        <v>5121</v>
      </c>
      <c r="P80" s="64">
        <f t="shared" si="16"/>
        <v>-3038.85</v>
      </c>
      <c r="Q80" s="65">
        <f t="shared" si="17"/>
        <v>-1.4594769829263</v>
      </c>
      <c r="R80" s="62" t="s">
        <v>1191</v>
      </c>
    </row>
    <row r="81" ht="40.5" hidden="1" spans="1:18">
      <c r="A81" s="9">
        <v>79</v>
      </c>
      <c r="B81" s="51" t="s">
        <v>1349</v>
      </c>
      <c r="C81" s="52" t="s">
        <v>166</v>
      </c>
      <c r="D81" s="53" t="s">
        <v>1294</v>
      </c>
      <c r="E81" s="53" t="s">
        <v>1197</v>
      </c>
      <c r="F81" s="54" t="s">
        <v>1143</v>
      </c>
      <c r="G81" s="54" t="s">
        <v>1350</v>
      </c>
      <c r="H81" s="55" t="s">
        <v>1284</v>
      </c>
      <c r="I81" s="57">
        <v>320.7</v>
      </c>
      <c r="J81" s="57">
        <v>6.5</v>
      </c>
      <c r="K81" s="57">
        <v>327.2</v>
      </c>
      <c r="L81" s="58" t="s">
        <v>1079</v>
      </c>
      <c r="M81" s="59"/>
      <c r="N81" s="9">
        <v>10153.5921</v>
      </c>
      <c r="O81" s="78">
        <v>640</v>
      </c>
      <c r="P81" s="64">
        <f t="shared" si="16"/>
        <v>-312.8</v>
      </c>
      <c r="Q81" s="65">
        <f t="shared" si="17"/>
        <v>-0.9559902200489</v>
      </c>
      <c r="R81" s="62"/>
    </row>
    <row r="82" ht="40.5" hidden="1" spans="1:18">
      <c r="A82" s="9">
        <v>80</v>
      </c>
      <c r="B82" s="51" t="s">
        <v>1351</v>
      </c>
      <c r="C82" s="52" t="s">
        <v>166</v>
      </c>
      <c r="D82" s="53" t="s">
        <v>1294</v>
      </c>
      <c r="E82" s="53" t="s">
        <v>1201</v>
      </c>
      <c r="F82" s="54" t="s">
        <v>1143</v>
      </c>
      <c r="G82" s="54" t="s">
        <v>1352</v>
      </c>
      <c r="H82" s="55" t="s">
        <v>1284</v>
      </c>
      <c r="I82" s="57">
        <v>362.4</v>
      </c>
      <c r="J82" s="57">
        <v>6.5</v>
      </c>
      <c r="K82" s="57">
        <v>368.9</v>
      </c>
      <c r="L82" s="58" t="s">
        <v>1079</v>
      </c>
      <c r="M82" s="59"/>
      <c r="N82" s="9">
        <v>476.9</v>
      </c>
      <c r="O82" s="78">
        <v>786</v>
      </c>
      <c r="P82" s="64">
        <f t="shared" si="16"/>
        <v>-417.1</v>
      </c>
      <c r="Q82" s="65">
        <f t="shared" si="17"/>
        <v>-1.13065871509894</v>
      </c>
      <c r="R82" s="62"/>
    </row>
    <row r="83" ht="40.5" hidden="1" spans="1:18">
      <c r="A83" s="9">
        <v>81</v>
      </c>
      <c r="B83" s="61" t="s">
        <v>1353</v>
      </c>
      <c r="C83" s="52" t="s">
        <v>166</v>
      </c>
      <c r="D83" s="62" t="s">
        <v>1294</v>
      </c>
      <c r="E83" s="62" t="s">
        <v>1204</v>
      </c>
      <c r="F83" s="54" t="s">
        <v>1143</v>
      </c>
      <c r="G83" s="54" t="s">
        <v>1354</v>
      </c>
      <c r="H83" s="63" t="s">
        <v>1284</v>
      </c>
      <c r="I83" s="57">
        <v>480.4</v>
      </c>
      <c r="J83" s="57">
        <v>6.5</v>
      </c>
      <c r="K83" s="57">
        <v>486.9</v>
      </c>
      <c r="L83" s="58" t="s">
        <v>723</v>
      </c>
      <c r="M83" s="59"/>
      <c r="N83" s="9">
        <v>0</v>
      </c>
      <c r="O83" s="60">
        <v>929</v>
      </c>
      <c r="P83" s="64">
        <f t="shared" si="16"/>
        <v>-442.1</v>
      </c>
      <c r="Q83" s="65">
        <f t="shared" si="17"/>
        <v>-0.907989320188951</v>
      </c>
      <c r="R83" s="62"/>
    </row>
    <row r="84" ht="40.5" hidden="1" spans="1:18">
      <c r="A84" s="9">
        <v>82</v>
      </c>
      <c r="B84" s="61" t="s">
        <v>1355</v>
      </c>
      <c r="C84" s="52" t="s">
        <v>166</v>
      </c>
      <c r="D84" s="62" t="s">
        <v>1294</v>
      </c>
      <c r="E84" s="62" t="s">
        <v>1207</v>
      </c>
      <c r="F84" s="54" t="s">
        <v>1143</v>
      </c>
      <c r="G84" s="54" t="s">
        <v>1356</v>
      </c>
      <c r="H84" s="63" t="s">
        <v>1292</v>
      </c>
      <c r="I84" s="57">
        <v>155</v>
      </c>
      <c r="J84" s="57">
        <v>6.5</v>
      </c>
      <c r="K84" s="57">
        <v>161.5</v>
      </c>
      <c r="L84" s="58" t="s">
        <v>723</v>
      </c>
      <c r="M84" s="59"/>
      <c r="N84" s="9">
        <v>7.8</v>
      </c>
      <c r="O84" s="60"/>
      <c r="P84" s="9"/>
      <c r="Q84" s="9"/>
      <c r="R84" s="15" t="s">
        <v>1081</v>
      </c>
    </row>
    <row r="85" ht="27" hidden="1" spans="1:18">
      <c r="A85" s="9">
        <v>83</v>
      </c>
      <c r="B85" s="51" t="s">
        <v>1357</v>
      </c>
      <c r="C85" s="52" t="s">
        <v>166</v>
      </c>
      <c r="D85" s="53" t="s">
        <v>256</v>
      </c>
      <c r="E85" s="53" t="s">
        <v>1358</v>
      </c>
      <c r="F85" s="54" t="s">
        <v>192</v>
      </c>
      <c r="G85" s="54" t="s">
        <v>1359</v>
      </c>
      <c r="H85" s="55" t="s">
        <v>1360</v>
      </c>
      <c r="I85" s="56">
        <v>1200</v>
      </c>
      <c r="J85" s="56">
        <v>24</v>
      </c>
      <c r="K85" s="57">
        <v>1224</v>
      </c>
      <c r="L85" s="58" t="s">
        <v>1079</v>
      </c>
      <c r="M85" s="59" t="s">
        <v>1361</v>
      </c>
      <c r="N85" s="9">
        <v>4840.7616</v>
      </c>
      <c r="O85" s="78">
        <v>1292</v>
      </c>
      <c r="P85" s="64">
        <f>K85-O85</f>
        <v>-68</v>
      </c>
      <c r="Q85" s="65">
        <f>(K85-O85)/K85</f>
        <v>-0.0555555555555556</v>
      </c>
      <c r="R85" s="62"/>
    </row>
    <row r="86" ht="40.5" hidden="1" spans="1:18">
      <c r="A86" s="9">
        <v>84</v>
      </c>
      <c r="B86" s="51" t="s">
        <v>1362</v>
      </c>
      <c r="C86" s="52" t="s">
        <v>166</v>
      </c>
      <c r="D86" s="53" t="s">
        <v>256</v>
      </c>
      <c r="E86" s="53" t="s">
        <v>1363</v>
      </c>
      <c r="F86" s="54" t="s">
        <v>1364</v>
      </c>
      <c r="G86" s="54" t="s">
        <v>1365</v>
      </c>
      <c r="H86" s="55" t="s">
        <v>1366</v>
      </c>
      <c r="I86" s="56">
        <v>543.51</v>
      </c>
      <c r="J86" s="56">
        <v>10.8702</v>
      </c>
      <c r="K86" s="57">
        <v>554.3802</v>
      </c>
      <c r="L86" s="58" t="s">
        <v>1079</v>
      </c>
      <c r="M86" s="59"/>
      <c r="N86" s="9">
        <v>1564.5771</v>
      </c>
      <c r="O86" s="78"/>
      <c r="P86" s="9"/>
      <c r="Q86" s="9"/>
      <c r="R86" s="15" t="s">
        <v>1081</v>
      </c>
    </row>
    <row r="87" ht="27" hidden="1" spans="1:18">
      <c r="A87" s="9">
        <v>85</v>
      </c>
      <c r="B87" s="51" t="s">
        <v>1367</v>
      </c>
      <c r="C87" s="52" t="s">
        <v>166</v>
      </c>
      <c r="D87" s="53" t="s">
        <v>256</v>
      </c>
      <c r="E87" s="53" t="s">
        <v>1368</v>
      </c>
      <c r="F87" s="54" t="s">
        <v>1143</v>
      </c>
      <c r="G87" s="54" t="s">
        <v>1369</v>
      </c>
      <c r="H87" s="55" t="s">
        <v>1370</v>
      </c>
      <c r="I87" s="56">
        <v>180</v>
      </c>
      <c r="J87" s="56">
        <v>3.6</v>
      </c>
      <c r="K87" s="57">
        <v>183.6</v>
      </c>
      <c r="L87" s="58" t="s">
        <v>1079</v>
      </c>
      <c r="M87" s="59" t="s">
        <v>1371</v>
      </c>
      <c r="N87" s="9">
        <v>10163.2835</v>
      </c>
      <c r="O87" s="78"/>
      <c r="P87" s="9"/>
      <c r="Q87" s="9"/>
      <c r="R87" s="15" t="s">
        <v>1081</v>
      </c>
    </row>
    <row r="88" ht="27" hidden="1" spans="1:18">
      <c r="A88" s="9">
        <v>86</v>
      </c>
      <c r="B88" s="51" t="s">
        <v>1372</v>
      </c>
      <c r="C88" s="52" t="s">
        <v>166</v>
      </c>
      <c r="D88" s="53" t="s">
        <v>1235</v>
      </c>
      <c r="E88" s="53" t="s">
        <v>1373</v>
      </c>
      <c r="F88" s="54" t="s">
        <v>18</v>
      </c>
      <c r="G88" s="54" t="s">
        <v>1374</v>
      </c>
      <c r="H88" s="55" t="s">
        <v>1375</v>
      </c>
      <c r="I88" s="56">
        <v>1000</v>
      </c>
      <c r="J88" s="56">
        <v>20</v>
      </c>
      <c r="K88" s="57">
        <v>1020</v>
      </c>
      <c r="L88" s="58" t="s">
        <v>1079</v>
      </c>
      <c r="M88" s="59" t="s">
        <v>1376</v>
      </c>
      <c r="N88" s="9">
        <v>539.959</v>
      </c>
      <c r="O88" s="78">
        <v>1020</v>
      </c>
      <c r="P88" s="64">
        <f t="shared" ref="P88:P92" si="18">K88-O88</f>
        <v>0</v>
      </c>
      <c r="Q88" s="65">
        <f t="shared" ref="Q88:Q92" si="19">(K88-O88)/K88</f>
        <v>0</v>
      </c>
      <c r="R88" s="62"/>
    </row>
    <row r="89" ht="27" hidden="1" spans="1:18">
      <c r="A89" s="9">
        <v>87</v>
      </c>
      <c r="B89" s="51" t="s">
        <v>1377</v>
      </c>
      <c r="C89" s="52" t="s">
        <v>166</v>
      </c>
      <c r="D89" s="53" t="s">
        <v>1294</v>
      </c>
      <c r="E89" s="53" t="s">
        <v>1378</v>
      </c>
      <c r="F89" s="54" t="s">
        <v>18</v>
      </c>
      <c r="G89" s="54" t="s">
        <v>1379</v>
      </c>
      <c r="H89" s="55" t="s">
        <v>1375</v>
      </c>
      <c r="I89" s="56">
        <v>1500</v>
      </c>
      <c r="J89" s="56">
        <v>30</v>
      </c>
      <c r="K89" s="57">
        <v>1530</v>
      </c>
      <c r="L89" s="58" t="s">
        <v>1079</v>
      </c>
      <c r="M89" s="59" t="s">
        <v>1380</v>
      </c>
      <c r="N89" s="9">
        <v>1063.799</v>
      </c>
      <c r="O89" s="78">
        <v>1445.6</v>
      </c>
      <c r="P89" s="64">
        <f t="shared" si="18"/>
        <v>84.4000000000001</v>
      </c>
      <c r="Q89" s="65">
        <f t="shared" si="19"/>
        <v>0.0551633986928105</v>
      </c>
      <c r="R89" s="62"/>
    </row>
    <row r="90" ht="27" hidden="1" spans="1:18">
      <c r="A90" s="9">
        <v>88</v>
      </c>
      <c r="B90" s="51" t="s">
        <v>1381</v>
      </c>
      <c r="C90" s="52" t="s">
        <v>166</v>
      </c>
      <c r="D90" s="53" t="s">
        <v>167</v>
      </c>
      <c r="E90" s="53" t="s">
        <v>1382</v>
      </c>
      <c r="F90" s="54" t="s">
        <v>18</v>
      </c>
      <c r="G90" s="54" t="s">
        <v>1383</v>
      </c>
      <c r="H90" s="55" t="s">
        <v>1384</v>
      </c>
      <c r="I90" s="56">
        <v>3500</v>
      </c>
      <c r="J90" s="56">
        <v>70</v>
      </c>
      <c r="K90" s="57">
        <v>3570</v>
      </c>
      <c r="L90" s="58" t="s">
        <v>1079</v>
      </c>
      <c r="M90" s="59" t="s">
        <v>1385</v>
      </c>
      <c r="N90" s="9">
        <v>29</v>
      </c>
      <c r="O90" s="78">
        <v>3570</v>
      </c>
      <c r="P90" s="64">
        <f t="shared" si="18"/>
        <v>0</v>
      </c>
      <c r="Q90" s="65">
        <f t="shared" si="19"/>
        <v>0</v>
      </c>
      <c r="R90" s="62"/>
    </row>
    <row r="91" ht="40.5" hidden="1" spans="1:18">
      <c r="A91" s="9">
        <v>89</v>
      </c>
      <c r="B91" s="61" t="s">
        <v>1386</v>
      </c>
      <c r="C91" s="52" t="s">
        <v>166</v>
      </c>
      <c r="D91" s="62" t="s">
        <v>167</v>
      </c>
      <c r="E91" s="62" t="s">
        <v>1387</v>
      </c>
      <c r="F91" s="54" t="s">
        <v>55</v>
      </c>
      <c r="G91" s="54" t="s">
        <v>1388</v>
      </c>
      <c r="H91" s="63" t="s">
        <v>1389</v>
      </c>
      <c r="I91" s="56">
        <v>16600</v>
      </c>
      <c r="J91" s="56">
        <v>332</v>
      </c>
      <c r="K91" s="57">
        <v>16932</v>
      </c>
      <c r="L91" s="58" t="s">
        <v>723</v>
      </c>
      <c r="M91" s="59"/>
      <c r="N91" s="9">
        <v>2</v>
      </c>
      <c r="O91" s="60">
        <v>21400</v>
      </c>
      <c r="P91" s="64">
        <f t="shared" si="18"/>
        <v>-4468</v>
      </c>
      <c r="Q91" s="65">
        <f t="shared" si="19"/>
        <v>-0.263879045594141</v>
      </c>
      <c r="R91" s="62"/>
    </row>
    <row r="92" ht="40.5" hidden="1" spans="1:18">
      <c r="A92" s="9">
        <v>90</v>
      </c>
      <c r="B92" s="61" t="s">
        <v>1390</v>
      </c>
      <c r="C92" s="52" t="s">
        <v>166</v>
      </c>
      <c r="D92" s="62" t="s">
        <v>167</v>
      </c>
      <c r="E92" s="62" t="s">
        <v>1387</v>
      </c>
      <c r="F92" s="54" t="s">
        <v>55</v>
      </c>
      <c r="G92" s="54" t="s">
        <v>1391</v>
      </c>
      <c r="H92" s="63" t="s">
        <v>1389</v>
      </c>
      <c r="I92" s="56">
        <v>18600</v>
      </c>
      <c r="J92" s="56">
        <v>372</v>
      </c>
      <c r="K92" s="57">
        <v>18972</v>
      </c>
      <c r="L92" s="58" t="s">
        <v>723</v>
      </c>
      <c r="M92" s="59" t="s">
        <v>1392</v>
      </c>
      <c r="N92" s="9">
        <v>0</v>
      </c>
      <c r="O92" s="60">
        <v>22400</v>
      </c>
      <c r="P92" s="64">
        <f t="shared" si="18"/>
        <v>-3428</v>
      </c>
      <c r="Q92" s="65">
        <f t="shared" si="19"/>
        <v>-0.180687328694919</v>
      </c>
      <c r="R92" s="62"/>
    </row>
    <row r="93" ht="40.5" hidden="1" spans="1:18">
      <c r="A93" s="9">
        <v>91</v>
      </c>
      <c r="B93" s="61" t="s">
        <v>1393</v>
      </c>
      <c r="C93" s="52" t="s">
        <v>166</v>
      </c>
      <c r="D93" s="62" t="s">
        <v>167</v>
      </c>
      <c r="E93" s="62" t="s">
        <v>1387</v>
      </c>
      <c r="F93" s="54" t="s">
        <v>55</v>
      </c>
      <c r="G93" s="54" t="s">
        <v>1394</v>
      </c>
      <c r="H93" s="63" t="s">
        <v>1389</v>
      </c>
      <c r="I93" s="56">
        <v>22000</v>
      </c>
      <c r="J93" s="56">
        <v>440</v>
      </c>
      <c r="K93" s="57">
        <v>22440</v>
      </c>
      <c r="L93" s="58" t="s">
        <v>723</v>
      </c>
      <c r="M93" s="59" t="s">
        <v>1392</v>
      </c>
      <c r="N93" s="9">
        <v>0</v>
      </c>
      <c r="O93" s="60"/>
      <c r="P93" s="9"/>
      <c r="Q93" s="9"/>
      <c r="R93" s="15" t="s">
        <v>1081</v>
      </c>
    </row>
    <row r="94" ht="40.5" hidden="1" spans="1:18">
      <c r="A94" s="9">
        <v>92</v>
      </c>
      <c r="B94" s="61" t="s">
        <v>1395</v>
      </c>
      <c r="C94" s="52" t="s">
        <v>166</v>
      </c>
      <c r="D94" s="62" t="s">
        <v>167</v>
      </c>
      <c r="E94" s="62" t="s">
        <v>1387</v>
      </c>
      <c r="F94" s="54" t="s">
        <v>55</v>
      </c>
      <c r="G94" s="54" t="s">
        <v>1396</v>
      </c>
      <c r="H94" s="63" t="s">
        <v>1389</v>
      </c>
      <c r="I94" s="56">
        <v>24000</v>
      </c>
      <c r="J94" s="56">
        <v>480</v>
      </c>
      <c r="K94" s="57">
        <v>24480</v>
      </c>
      <c r="L94" s="58" t="s">
        <v>723</v>
      </c>
      <c r="M94" s="59" t="s">
        <v>1392</v>
      </c>
      <c r="N94" s="9">
        <v>0</v>
      </c>
      <c r="O94" s="60"/>
      <c r="P94" s="9"/>
      <c r="Q94" s="9"/>
      <c r="R94" s="15" t="s">
        <v>1081</v>
      </c>
    </row>
    <row r="95" ht="27" hidden="1" spans="1:18">
      <c r="A95" s="9">
        <v>93</v>
      </c>
      <c r="B95" s="51" t="s">
        <v>1397</v>
      </c>
      <c r="C95" s="52" t="s">
        <v>166</v>
      </c>
      <c r="D95" s="53" t="s">
        <v>167</v>
      </c>
      <c r="E95" s="53" t="s">
        <v>226</v>
      </c>
      <c r="F95" s="54" t="s">
        <v>390</v>
      </c>
      <c r="G95" s="54" t="s">
        <v>1398</v>
      </c>
      <c r="H95" s="55" t="s">
        <v>229</v>
      </c>
      <c r="I95" s="56">
        <v>57</v>
      </c>
      <c r="J95" s="56">
        <v>1.14</v>
      </c>
      <c r="K95" s="57">
        <v>58.14</v>
      </c>
      <c r="L95" s="58" t="s">
        <v>1079</v>
      </c>
      <c r="M95" s="59" t="s">
        <v>1399</v>
      </c>
      <c r="N95" s="9">
        <v>582.5</v>
      </c>
      <c r="O95" s="78">
        <v>65</v>
      </c>
      <c r="P95" s="64">
        <f>K95-O95</f>
        <v>-6.86</v>
      </c>
      <c r="Q95" s="65">
        <f>(K95-O95)/K95</f>
        <v>-0.117991056071551</v>
      </c>
      <c r="R95" s="62"/>
    </row>
    <row r="96" ht="27" hidden="1" spans="1:18">
      <c r="A96" s="9">
        <v>94</v>
      </c>
      <c r="B96" s="61" t="s">
        <v>1400</v>
      </c>
      <c r="C96" s="52" t="s">
        <v>166</v>
      </c>
      <c r="D96" s="53" t="s">
        <v>1401</v>
      </c>
      <c r="E96" s="53" t="s">
        <v>1402</v>
      </c>
      <c r="F96" s="54" t="s">
        <v>1403</v>
      </c>
      <c r="G96" s="54" t="s">
        <v>1404</v>
      </c>
      <c r="H96" s="55" t="s">
        <v>1405</v>
      </c>
      <c r="I96" s="56">
        <v>73</v>
      </c>
      <c r="J96" s="56">
        <v>1.46</v>
      </c>
      <c r="K96" s="57">
        <v>74.46</v>
      </c>
      <c r="L96" s="58" t="s">
        <v>723</v>
      </c>
      <c r="M96" s="59"/>
      <c r="N96" s="9">
        <v>3002.1192</v>
      </c>
      <c r="O96" s="60"/>
      <c r="P96" s="9"/>
      <c r="Q96" s="9"/>
      <c r="R96" s="15" t="s">
        <v>1081</v>
      </c>
    </row>
    <row r="97" ht="27" hidden="1" spans="1:18">
      <c r="A97" s="9">
        <v>95</v>
      </c>
      <c r="B97" s="61" t="s">
        <v>1406</v>
      </c>
      <c r="C97" s="52" t="s">
        <v>166</v>
      </c>
      <c r="D97" s="62" t="s">
        <v>1401</v>
      </c>
      <c r="E97" s="62" t="s">
        <v>1407</v>
      </c>
      <c r="F97" s="54" t="s">
        <v>1403</v>
      </c>
      <c r="G97" s="54" t="s">
        <v>1408</v>
      </c>
      <c r="H97" s="63" t="s">
        <v>1409</v>
      </c>
      <c r="I97" s="56">
        <v>109.5</v>
      </c>
      <c r="J97" s="56">
        <v>2.19</v>
      </c>
      <c r="K97" s="57">
        <v>111.69</v>
      </c>
      <c r="L97" s="58" t="s">
        <v>723</v>
      </c>
      <c r="M97" s="59"/>
      <c r="N97" s="9">
        <v>18</v>
      </c>
      <c r="O97" s="60"/>
      <c r="P97" s="9"/>
      <c r="Q97" s="9"/>
      <c r="R97" s="15" t="s">
        <v>1081</v>
      </c>
    </row>
    <row r="98" ht="27" hidden="1" spans="1:18">
      <c r="A98" s="9">
        <v>96</v>
      </c>
      <c r="B98" s="61" t="s">
        <v>1410</v>
      </c>
      <c r="C98" s="52" t="s">
        <v>166</v>
      </c>
      <c r="D98" s="62" t="s">
        <v>1411</v>
      </c>
      <c r="E98" s="84"/>
      <c r="F98" s="66" t="s">
        <v>18</v>
      </c>
      <c r="G98" s="68" t="s">
        <v>1412</v>
      </c>
      <c r="H98" s="63" t="s">
        <v>1413</v>
      </c>
      <c r="I98" s="85" t="s">
        <v>1002</v>
      </c>
      <c r="J98" s="85" t="s">
        <v>1002</v>
      </c>
      <c r="K98" s="85">
        <v>0</v>
      </c>
      <c r="L98" s="58" t="s">
        <v>723</v>
      </c>
      <c r="M98" s="59"/>
      <c r="N98" s="9">
        <v>4.105</v>
      </c>
      <c r="O98" s="60"/>
      <c r="P98" s="9"/>
      <c r="Q98" s="9"/>
      <c r="R98" s="15" t="s">
        <v>1081</v>
      </c>
    </row>
    <row r="99" ht="27" hidden="1" spans="1:18">
      <c r="A99" s="9">
        <v>97</v>
      </c>
      <c r="B99" s="61" t="s">
        <v>1414</v>
      </c>
      <c r="C99" s="52" t="s">
        <v>166</v>
      </c>
      <c r="D99" s="53" t="s">
        <v>1415</v>
      </c>
      <c r="E99" s="53"/>
      <c r="F99" s="54" t="s">
        <v>18</v>
      </c>
      <c r="G99" s="54" t="s">
        <v>1416</v>
      </c>
      <c r="H99" s="55" t="s">
        <v>1000</v>
      </c>
      <c r="I99" s="56" t="s">
        <v>1002</v>
      </c>
      <c r="J99" s="56" t="s">
        <v>1002</v>
      </c>
      <c r="K99" s="57" t="s">
        <v>1002</v>
      </c>
      <c r="L99" s="58" t="s">
        <v>698</v>
      </c>
      <c r="M99" s="59"/>
      <c r="N99" s="9">
        <v>977.4447</v>
      </c>
      <c r="O99" s="78"/>
      <c r="P99" s="9"/>
      <c r="Q99" s="9"/>
      <c r="R99" s="15" t="s">
        <v>1081</v>
      </c>
    </row>
    <row r="100" ht="81" hidden="1" spans="1:18">
      <c r="A100" s="9">
        <v>98</v>
      </c>
      <c r="B100" s="84" t="s">
        <v>1417</v>
      </c>
      <c r="C100" s="52" t="s">
        <v>166</v>
      </c>
      <c r="D100" s="62" t="s">
        <v>1418</v>
      </c>
      <c r="E100" s="84"/>
      <c r="F100" s="54" t="s">
        <v>18</v>
      </c>
      <c r="G100" s="54" t="s">
        <v>1419</v>
      </c>
      <c r="H100" s="63" t="s">
        <v>1420</v>
      </c>
      <c r="I100" s="85">
        <v>3748.29</v>
      </c>
      <c r="J100" s="85">
        <v>57.08</v>
      </c>
      <c r="K100" s="85">
        <v>3805.37</v>
      </c>
      <c r="L100" s="58" t="s">
        <v>723</v>
      </c>
      <c r="M100" s="59"/>
      <c r="N100" s="9">
        <v>4</v>
      </c>
      <c r="O100" s="60"/>
      <c r="P100" s="9"/>
      <c r="Q100" s="9"/>
      <c r="R100" s="15" t="s">
        <v>1081</v>
      </c>
    </row>
    <row r="101" ht="67.5" hidden="1" spans="1:18">
      <c r="A101" s="9">
        <v>99</v>
      </c>
      <c r="B101" s="84" t="s">
        <v>1421</v>
      </c>
      <c r="C101" s="52" t="s">
        <v>166</v>
      </c>
      <c r="D101" s="62" t="s">
        <v>1422</v>
      </c>
      <c r="E101" s="84"/>
      <c r="F101" s="54" t="s">
        <v>18</v>
      </c>
      <c r="G101" s="68" t="s">
        <v>1423</v>
      </c>
      <c r="H101" s="63" t="s">
        <v>1424</v>
      </c>
      <c r="I101" s="85">
        <v>3653.6905</v>
      </c>
      <c r="J101" s="85">
        <v>54.37</v>
      </c>
      <c r="K101" s="85">
        <v>3708.0605</v>
      </c>
      <c r="L101" s="58" t="s">
        <v>723</v>
      </c>
      <c r="M101" s="59"/>
      <c r="N101" s="9">
        <v>3</v>
      </c>
      <c r="O101" s="60"/>
      <c r="P101" s="9"/>
      <c r="Q101" s="9"/>
      <c r="R101" s="15" t="s">
        <v>1081</v>
      </c>
    </row>
    <row r="102" ht="67.5" hidden="1" spans="1:18">
      <c r="A102" s="9">
        <v>100</v>
      </c>
      <c r="B102" s="84" t="s">
        <v>1425</v>
      </c>
      <c r="C102" s="52" t="s">
        <v>166</v>
      </c>
      <c r="D102" s="62" t="s">
        <v>1426</v>
      </c>
      <c r="E102" s="84"/>
      <c r="F102" s="54" t="s">
        <v>18</v>
      </c>
      <c r="G102" s="68" t="s">
        <v>1427</v>
      </c>
      <c r="H102" s="63" t="s">
        <v>1428</v>
      </c>
      <c r="I102" s="85">
        <v>3061.4181</v>
      </c>
      <c r="J102" s="85">
        <v>45.29</v>
      </c>
      <c r="K102" s="85">
        <v>3106.7081</v>
      </c>
      <c r="L102" s="58" t="s">
        <v>723</v>
      </c>
      <c r="M102" s="59"/>
      <c r="N102" s="9">
        <v>1</v>
      </c>
      <c r="O102" s="60"/>
      <c r="P102" s="9"/>
      <c r="Q102" s="9"/>
      <c r="R102" s="15" t="s">
        <v>1081</v>
      </c>
    </row>
    <row r="103" ht="54" hidden="1" spans="1:18">
      <c r="A103" s="9">
        <v>101</v>
      </c>
      <c r="B103" s="84" t="s">
        <v>1429</v>
      </c>
      <c r="C103" s="52" t="s">
        <v>166</v>
      </c>
      <c r="D103" s="62" t="s">
        <v>1430</v>
      </c>
      <c r="E103" s="84"/>
      <c r="F103" s="54" t="s">
        <v>18</v>
      </c>
      <c r="G103" s="68" t="s">
        <v>1431</v>
      </c>
      <c r="H103" s="63" t="s">
        <v>1432</v>
      </c>
      <c r="I103" s="85">
        <v>1921.7811</v>
      </c>
      <c r="J103" s="85">
        <v>28.64</v>
      </c>
      <c r="K103" s="85">
        <v>1950.4211</v>
      </c>
      <c r="L103" s="58" t="s">
        <v>723</v>
      </c>
      <c r="M103" s="59"/>
      <c r="N103" s="9">
        <v>1</v>
      </c>
      <c r="O103" s="60"/>
      <c r="P103" s="9"/>
      <c r="Q103" s="9"/>
      <c r="R103" s="15" t="s">
        <v>1081</v>
      </c>
    </row>
    <row r="104" ht="40.5" hidden="1" spans="1:18">
      <c r="A104" s="9">
        <v>102</v>
      </c>
      <c r="B104" s="84" t="s">
        <v>1433</v>
      </c>
      <c r="C104" s="52" t="s">
        <v>166</v>
      </c>
      <c r="D104" s="62" t="s">
        <v>1434</v>
      </c>
      <c r="E104" s="84"/>
      <c r="F104" s="54" t="s">
        <v>18</v>
      </c>
      <c r="G104" s="68" t="s">
        <v>1435</v>
      </c>
      <c r="H104" s="63" t="s">
        <v>1436</v>
      </c>
      <c r="I104" s="85">
        <v>2884.8418</v>
      </c>
      <c r="J104" s="85">
        <v>42.58</v>
      </c>
      <c r="K104" s="85">
        <v>2927.4218</v>
      </c>
      <c r="L104" s="58" t="s">
        <v>723</v>
      </c>
      <c r="M104" s="59"/>
      <c r="N104" s="9">
        <v>0</v>
      </c>
      <c r="O104" s="60"/>
      <c r="P104" s="9"/>
      <c r="Q104" s="9"/>
      <c r="R104" s="15" t="s">
        <v>1081</v>
      </c>
    </row>
    <row r="105" ht="40.5" hidden="1" spans="1:18">
      <c r="A105" s="9">
        <v>103</v>
      </c>
      <c r="B105" s="84" t="s">
        <v>1437</v>
      </c>
      <c r="C105" s="52" t="s">
        <v>166</v>
      </c>
      <c r="D105" s="62" t="s">
        <v>1438</v>
      </c>
      <c r="E105" s="84"/>
      <c r="F105" s="54" t="s">
        <v>18</v>
      </c>
      <c r="G105" s="68" t="s">
        <v>1439</v>
      </c>
      <c r="H105" s="63" t="s">
        <v>1440</v>
      </c>
      <c r="I105" s="85">
        <v>1893.0741</v>
      </c>
      <c r="J105" s="85">
        <v>33.5</v>
      </c>
      <c r="K105" s="85">
        <v>1926.5741</v>
      </c>
      <c r="L105" s="58" t="s">
        <v>723</v>
      </c>
      <c r="M105" s="59"/>
      <c r="N105" s="9">
        <v>19</v>
      </c>
      <c r="O105" s="60"/>
      <c r="P105" s="9"/>
      <c r="Q105" s="9"/>
      <c r="R105" s="15" t="s">
        <v>1081</v>
      </c>
    </row>
    <row r="106" ht="40.5" hidden="1" spans="1:18">
      <c r="A106" s="9">
        <v>104</v>
      </c>
      <c r="B106" s="84" t="s">
        <v>1441</v>
      </c>
      <c r="C106" s="52" t="s">
        <v>166</v>
      </c>
      <c r="D106" s="62" t="s">
        <v>1442</v>
      </c>
      <c r="E106" s="84"/>
      <c r="F106" s="54" t="s">
        <v>18</v>
      </c>
      <c r="G106" s="68" t="s">
        <v>1443</v>
      </c>
      <c r="H106" s="63" t="s">
        <v>1444</v>
      </c>
      <c r="I106" s="85">
        <v>1152.9924</v>
      </c>
      <c r="J106" s="85">
        <v>16.85</v>
      </c>
      <c r="K106" s="85">
        <v>1169.8424</v>
      </c>
      <c r="L106" s="58" t="s">
        <v>723</v>
      </c>
      <c r="M106" s="59"/>
      <c r="N106" s="9">
        <v>7</v>
      </c>
      <c r="O106" s="60"/>
      <c r="P106" s="9"/>
      <c r="Q106" s="9"/>
      <c r="R106" s="15" t="s">
        <v>1081</v>
      </c>
    </row>
    <row r="107" ht="81" hidden="1" spans="1:18">
      <c r="A107" s="9">
        <v>105</v>
      </c>
      <c r="B107" s="84" t="s">
        <v>1445</v>
      </c>
      <c r="C107" s="52" t="s">
        <v>166</v>
      </c>
      <c r="D107" s="62" t="s">
        <v>1446</v>
      </c>
      <c r="E107" s="84"/>
      <c r="F107" s="54" t="s">
        <v>18</v>
      </c>
      <c r="G107" s="68" t="s">
        <v>1447</v>
      </c>
      <c r="H107" s="63" t="s">
        <v>1420</v>
      </c>
      <c r="I107" s="85">
        <v>3591.294</v>
      </c>
      <c r="J107" s="85">
        <v>53.66</v>
      </c>
      <c r="K107" s="85">
        <v>3644.954</v>
      </c>
      <c r="L107" s="58" t="s">
        <v>723</v>
      </c>
      <c r="M107" s="59"/>
      <c r="N107" s="9">
        <v>0</v>
      </c>
      <c r="O107" s="60"/>
      <c r="P107" s="9"/>
      <c r="Q107" s="9"/>
      <c r="R107" s="15" t="s">
        <v>1081</v>
      </c>
    </row>
    <row r="108" ht="67.5" hidden="1" spans="1:18">
      <c r="A108" s="9">
        <v>106</v>
      </c>
      <c r="B108" s="84" t="s">
        <v>1448</v>
      </c>
      <c r="C108" s="52" t="s">
        <v>166</v>
      </c>
      <c r="D108" s="62" t="s">
        <v>1449</v>
      </c>
      <c r="E108" s="84"/>
      <c r="F108" s="54" t="s">
        <v>18</v>
      </c>
      <c r="G108" s="68" t="s">
        <v>1450</v>
      </c>
      <c r="H108" s="63" t="s">
        <v>1424</v>
      </c>
      <c r="I108" s="85">
        <v>3410.995</v>
      </c>
      <c r="J108" s="85">
        <v>50.95</v>
      </c>
      <c r="K108" s="85">
        <v>3461.945</v>
      </c>
      <c r="L108" s="58" t="s">
        <v>723</v>
      </c>
      <c r="M108" s="59"/>
      <c r="N108" s="9">
        <v>0</v>
      </c>
      <c r="O108" s="60"/>
      <c r="P108" s="9"/>
      <c r="Q108" s="9"/>
      <c r="R108" s="15" t="s">
        <v>1081</v>
      </c>
    </row>
    <row r="109" ht="67.5" hidden="1" spans="1:18">
      <c r="A109" s="9">
        <v>107</v>
      </c>
      <c r="B109" s="84" t="s">
        <v>1451</v>
      </c>
      <c r="C109" s="52" t="s">
        <v>166</v>
      </c>
      <c r="D109" s="62" t="s">
        <v>1452</v>
      </c>
      <c r="E109" s="84"/>
      <c r="F109" s="54" t="s">
        <v>18</v>
      </c>
      <c r="G109" s="68" t="s">
        <v>1453</v>
      </c>
      <c r="H109" s="63" t="s">
        <v>1428</v>
      </c>
      <c r="I109" s="85">
        <v>2806.283</v>
      </c>
      <c r="J109" s="85">
        <v>41.87</v>
      </c>
      <c r="K109" s="85">
        <v>2848.153</v>
      </c>
      <c r="L109" s="58" t="s">
        <v>723</v>
      </c>
      <c r="M109" s="59"/>
      <c r="N109" s="9">
        <v>0</v>
      </c>
      <c r="O109" s="60"/>
      <c r="P109" s="9"/>
      <c r="Q109" s="9"/>
      <c r="R109" s="15" t="s">
        <v>1081</v>
      </c>
    </row>
    <row r="110" ht="54" hidden="1" spans="1:18">
      <c r="A110" s="9">
        <v>108</v>
      </c>
      <c r="B110" s="84" t="s">
        <v>1454</v>
      </c>
      <c r="C110" s="52" t="s">
        <v>166</v>
      </c>
      <c r="D110" s="62" t="s">
        <v>1455</v>
      </c>
      <c r="E110" s="84"/>
      <c r="F110" s="54" t="s">
        <v>18</v>
      </c>
      <c r="G110" s="68" t="s">
        <v>1456</v>
      </c>
      <c r="H110" s="63" t="s">
        <v>1432</v>
      </c>
      <c r="I110" s="85">
        <v>1802.413</v>
      </c>
      <c r="J110" s="85">
        <v>26.93</v>
      </c>
      <c r="K110" s="85">
        <v>1829.343</v>
      </c>
      <c r="L110" s="58" t="s">
        <v>723</v>
      </c>
      <c r="M110" s="59"/>
      <c r="N110" s="9">
        <v>0</v>
      </c>
      <c r="O110" s="60"/>
      <c r="P110" s="9"/>
      <c r="Q110" s="9"/>
      <c r="R110" s="15" t="s">
        <v>1081</v>
      </c>
    </row>
    <row r="111" ht="40.5" hidden="1" spans="1:18">
      <c r="A111" s="9">
        <v>109</v>
      </c>
      <c r="B111" s="84" t="s">
        <v>1457</v>
      </c>
      <c r="C111" s="52" t="s">
        <v>166</v>
      </c>
      <c r="D111" s="62" t="s">
        <v>1458</v>
      </c>
      <c r="E111" s="84"/>
      <c r="F111" s="54" t="s">
        <v>18</v>
      </c>
      <c r="G111" s="68" t="s">
        <v>1459</v>
      </c>
      <c r="H111" s="63" t="s">
        <v>1436</v>
      </c>
      <c r="I111" s="85">
        <v>2625.994</v>
      </c>
      <c r="J111" s="85">
        <v>39.16</v>
      </c>
      <c r="K111" s="85">
        <v>2665.154</v>
      </c>
      <c r="L111" s="58" t="s">
        <v>723</v>
      </c>
      <c r="M111" s="59"/>
      <c r="N111" s="9">
        <v>0</v>
      </c>
      <c r="O111" s="60"/>
      <c r="P111" s="9"/>
      <c r="Q111" s="9"/>
      <c r="R111" s="15" t="s">
        <v>1081</v>
      </c>
    </row>
    <row r="112" ht="40.5" hidden="1" spans="1:18">
      <c r="A112" s="9">
        <v>110</v>
      </c>
      <c r="B112" s="84" t="s">
        <v>1460</v>
      </c>
      <c r="C112" s="52" t="s">
        <v>166</v>
      </c>
      <c r="D112" s="62" t="s">
        <v>1461</v>
      </c>
      <c r="E112" s="84"/>
      <c r="F112" s="54" t="s">
        <v>18</v>
      </c>
      <c r="G112" s="68" t="s">
        <v>1462</v>
      </c>
      <c r="H112" s="63" t="s">
        <v>1440</v>
      </c>
      <c r="I112" s="85">
        <v>1621.773</v>
      </c>
      <c r="J112" s="85">
        <v>30.07</v>
      </c>
      <c r="K112" s="85">
        <v>1651.843</v>
      </c>
      <c r="L112" s="58" t="s">
        <v>723</v>
      </c>
      <c r="M112" s="59"/>
      <c r="N112" s="9">
        <v>0</v>
      </c>
      <c r="O112" s="60"/>
      <c r="P112" s="9"/>
      <c r="Q112" s="9"/>
      <c r="R112" s="15" t="s">
        <v>1081</v>
      </c>
    </row>
    <row r="113" ht="40.5" hidden="1" spans="1:19">
      <c r="A113" s="9">
        <v>111</v>
      </c>
      <c r="B113" s="84" t="s">
        <v>1463</v>
      </c>
      <c r="C113" s="52" t="s">
        <v>166</v>
      </c>
      <c r="D113" s="62" t="s">
        <v>1464</v>
      </c>
      <c r="E113" s="84"/>
      <c r="F113" s="54" t="s">
        <v>18</v>
      </c>
      <c r="G113" s="68" t="s">
        <v>1465</v>
      </c>
      <c r="H113" s="63" t="s">
        <v>1444</v>
      </c>
      <c r="I113" s="85">
        <v>1017.472</v>
      </c>
      <c r="J113" s="85">
        <v>15.14</v>
      </c>
      <c r="K113" s="85">
        <v>1032.612</v>
      </c>
      <c r="L113" s="58" t="s">
        <v>723</v>
      </c>
      <c r="M113" s="59"/>
      <c r="N113" s="9">
        <v>0</v>
      </c>
      <c r="O113" s="60"/>
      <c r="P113" s="9"/>
      <c r="Q113" s="9"/>
      <c r="R113" s="15" t="s">
        <v>1081</v>
      </c>
    </row>
    <row r="114" ht="67.5" spans="1:19">
      <c r="A114" s="9">
        <v>112</v>
      </c>
      <c r="B114" s="62" t="s">
        <v>16</v>
      </c>
      <c r="C114" s="53" t="s">
        <v>17</v>
      </c>
      <c r="D114" s="53" t="s">
        <v>1466</v>
      </c>
      <c r="E114" s="53" t="s">
        <v>389</v>
      </c>
      <c r="F114" s="54" t="s">
        <v>18</v>
      </c>
      <c r="G114" s="53" t="s">
        <v>1467</v>
      </c>
      <c r="H114" s="55" t="s">
        <v>1468</v>
      </c>
      <c r="I114" s="85">
        <v>5803.65024</v>
      </c>
      <c r="J114" s="85">
        <v>187</v>
      </c>
      <c r="K114" s="85">
        <v>5990.65024</v>
      </c>
      <c r="L114" s="58" t="s">
        <v>698</v>
      </c>
      <c r="M114" s="59"/>
      <c r="N114" s="9">
        <v>195</v>
      </c>
      <c r="O114" s="60"/>
      <c r="P114" s="9"/>
      <c r="Q114" s="9"/>
      <c r="R114" s="15" t="s">
        <v>1081</v>
      </c>
      <c r="S114" s="23" t="s">
        <v>1469</v>
      </c>
    </row>
    <row r="115" ht="54" hidden="1" spans="1:19">
      <c r="A115" s="9">
        <v>113</v>
      </c>
      <c r="B115" s="62" t="s">
        <v>1470</v>
      </c>
      <c r="C115" s="53" t="s">
        <v>17</v>
      </c>
      <c r="D115" s="86" t="s">
        <v>1466</v>
      </c>
      <c r="E115" s="62" t="s">
        <v>389</v>
      </c>
      <c r="F115" s="54" t="s">
        <v>18</v>
      </c>
      <c r="G115" s="53" t="s">
        <v>1471</v>
      </c>
      <c r="H115" s="63" t="s">
        <v>1472</v>
      </c>
      <c r="I115" s="85">
        <v>3948.93924</v>
      </c>
      <c r="J115" s="85">
        <v>178.99</v>
      </c>
      <c r="K115" s="85">
        <v>4127.92924</v>
      </c>
      <c r="L115" s="58" t="s">
        <v>723</v>
      </c>
      <c r="M115" s="87"/>
      <c r="N115" s="9">
        <v>0</v>
      </c>
      <c r="O115" s="60"/>
      <c r="P115" s="9"/>
      <c r="Q115" s="9"/>
      <c r="R115" s="15" t="s">
        <v>1081</v>
      </c>
    </row>
    <row r="116" ht="67.5" spans="1:19">
      <c r="A116" s="9">
        <v>114</v>
      </c>
      <c r="B116" s="62" t="s">
        <v>24</v>
      </c>
      <c r="C116" s="53" t="s">
        <v>17</v>
      </c>
      <c r="D116" s="62" t="s">
        <v>1466</v>
      </c>
      <c r="E116" s="62" t="s">
        <v>393</v>
      </c>
      <c r="F116" s="54" t="s">
        <v>18</v>
      </c>
      <c r="G116" s="53" t="s">
        <v>1473</v>
      </c>
      <c r="H116" s="63" t="s">
        <v>1474</v>
      </c>
      <c r="I116" s="85">
        <v>6300.20624</v>
      </c>
      <c r="J116" s="85">
        <v>196</v>
      </c>
      <c r="K116" s="85">
        <v>6496.20624</v>
      </c>
      <c r="L116" s="58" t="s">
        <v>698</v>
      </c>
      <c r="M116" s="59"/>
      <c r="N116" s="9">
        <v>6</v>
      </c>
      <c r="O116" s="60"/>
      <c r="P116" s="9"/>
      <c r="Q116" s="9"/>
      <c r="R116" s="15" t="s">
        <v>1081</v>
      </c>
      <c r="S116" s="23" t="s">
        <v>1469</v>
      </c>
    </row>
    <row r="117" ht="54" hidden="1" spans="1:19">
      <c r="A117" s="9">
        <v>115</v>
      </c>
      <c r="B117" s="62" t="s">
        <v>1475</v>
      </c>
      <c r="C117" s="53" t="s">
        <v>17</v>
      </c>
      <c r="D117" s="86" t="s">
        <v>1466</v>
      </c>
      <c r="E117" s="62" t="s">
        <v>393</v>
      </c>
      <c r="F117" s="54" t="s">
        <v>18</v>
      </c>
      <c r="G117" s="53" t="s">
        <v>1476</v>
      </c>
      <c r="H117" s="63" t="s">
        <v>1477</v>
      </c>
      <c r="I117" s="85">
        <v>4210.41524</v>
      </c>
      <c r="J117" s="85">
        <v>183.89</v>
      </c>
      <c r="K117" s="85">
        <v>4394.30524</v>
      </c>
      <c r="L117" s="58" t="s">
        <v>723</v>
      </c>
      <c r="M117" s="87"/>
      <c r="N117" s="9">
        <v>0</v>
      </c>
      <c r="O117" s="60"/>
      <c r="P117" s="9"/>
      <c r="Q117" s="9"/>
      <c r="R117" s="15" t="s">
        <v>1081</v>
      </c>
    </row>
    <row r="118" ht="67.5" spans="1:19">
      <c r="A118" s="9">
        <v>116</v>
      </c>
      <c r="B118" s="62" t="s">
        <v>26</v>
      </c>
      <c r="C118" s="53" t="s">
        <v>17</v>
      </c>
      <c r="D118" s="53" t="s">
        <v>1478</v>
      </c>
      <c r="E118" s="53"/>
      <c r="F118" s="54" t="s">
        <v>18</v>
      </c>
      <c r="G118" s="53" t="s">
        <v>1479</v>
      </c>
      <c r="H118" s="55" t="s">
        <v>1480</v>
      </c>
      <c r="I118" s="85">
        <v>4676.24</v>
      </c>
      <c r="J118" s="85">
        <v>74.63</v>
      </c>
      <c r="K118" s="85">
        <v>4750.87</v>
      </c>
      <c r="L118" s="58" t="s">
        <v>698</v>
      </c>
      <c r="M118" s="59"/>
      <c r="N118" s="9">
        <v>96</v>
      </c>
      <c r="O118" s="60"/>
      <c r="P118" s="9"/>
      <c r="Q118" s="9"/>
      <c r="R118" s="15" t="s">
        <v>1081</v>
      </c>
      <c r="S118" s="23" t="s">
        <v>1469</v>
      </c>
    </row>
    <row r="119" ht="40.5" hidden="1" spans="1:19">
      <c r="A119" s="9">
        <v>117</v>
      </c>
      <c r="B119" s="62" t="s">
        <v>1481</v>
      </c>
      <c r="C119" s="53" t="s">
        <v>17</v>
      </c>
      <c r="D119" s="86" t="s">
        <v>1478</v>
      </c>
      <c r="E119" s="62"/>
      <c r="F119" s="54" t="s">
        <v>18</v>
      </c>
      <c r="G119" s="53" t="s">
        <v>1482</v>
      </c>
      <c r="H119" s="63" t="s">
        <v>1483</v>
      </c>
      <c r="I119" s="85">
        <v>3641.123</v>
      </c>
      <c r="J119" s="85">
        <v>112.54</v>
      </c>
      <c r="K119" s="85">
        <v>3753.663</v>
      </c>
      <c r="L119" s="58" t="s">
        <v>723</v>
      </c>
      <c r="M119" s="87"/>
      <c r="N119" s="9">
        <v>0</v>
      </c>
      <c r="O119" s="60"/>
      <c r="P119" s="9"/>
      <c r="Q119" s="9"/>
      <c r="R119" s="15" t="s">
        <v>1081</v>
      </c>
    </row>
    <row r="120" ht="54" spans="1:19">
      <c r="A120" s="9">
        <v>118</v>
      </c>
      <c r="B120" s="62" t="s">
        <v>29</v>
      </c>
      <c r="C120" s="53" t="s">
        <v>17</v>
      </c>
      <c r="D120" s="53" t="s">
        <v>1484</v>
      </c>
      <c r="E120" s="53"/>
      <c r="F120" s="54" t="s">
        <v>30</v>
      </c>
      <c r="G120" s="53" t="s">
        <v>1485</v>
      </c>
      <c r="H120" s="55" t="s">
        <v>1486</v>
      </c>
      <c r="I120" s="88">
        <v>3680</v>
      </c>
      <c r="J120" s="88">
        <v>128</v>
      </c>
      <c r="K120" s="89">
        <v>3808</v>
      </c>
      <c r="L120" s="58" t="s">
        <v>698</v>
      </c>
      <c r="M120" s="59"/>
      <c r="N120" s="9">
        <v>3674.0492</v>
      </c>
      <c r="O120" s="60"/>
      <c r="P120" s="9"/>
      <c r="Q120" s="9"/>
      <c r="R120" s="15" t="s">
        <v>1081</v>
      </c>
      <c r="S120" s="23" t="s">
        <v>1469</v>
      </c>
    </row>
    <row r="121" ht="40.5" hidden="1" spans="1:19">
      <c r="A121" s="9">
        <v>119</v>
      </c>
      <c r="B121" s="62" t="s">
        <v>1487</v>
      </c>
      <c r="C121" s="53" t="s">
        <v>17</v>
      </c>
      <c r="D121" s="86" t="s">
        <v>1484</v>
      </c>
      <c r="E121" s="62"/>
      <c r="F121" s="54" t="s">
        <v>30</v>
      </c>
      <c r="G121" s="53" t="s">
        <v>1488</v>
      </c>
      <c r="H121" s="63" t="s">
        <v>1489</v>
      </c>
      <c r="I121" s="85">
        <v>3320</v>
      </c>
      <c r="J121" s="90">
        <v>128</v>
      </c>
      <c r="K121" s="85">
        <v>3448</v>
      </c>
      <c r="L121" s="58" t="s">
        <v>723</v>
      </c>
      <c r="M121" s="87"/>
      <c r="N121" s="9">
        <v>2</v>
      </c>
      <c r="O121" s="60"/>
      <c r="P121" s="9"/>
      <c r="Q121" s="9"/>
      <c r="R121" s="15" t="s">
        <v>1081</v>
      </c>
    </row>
    <row r="122" ht="27" spans="1:19">
      <c r="A122" s="9">
        <v>120</v>
      </c>
      <c r="B122" s="62" t="s">
        <v>32</v>
      </c>
      <c r="C122" s="53" t="s">
        <v>17</v>
      </c>
      <c r="D122" s="53" t="s">
        <v>1490</v>
      </c>
      <c r="E122" s="53"/>
      <c r="F122" s="54" t="s">
        <v>30</v>
      </c>
      <c r="G122" s="53" t="s">
        <v>1491</v>
      </c>
      <c r="H122" s="55" t="s">
        <v>33</v>
      </c>
      <c r="I122" s="85">
        <v>713</v>
      </c>
      <c r="J122" s="85">
        <v>21</v>
      </c>
      <c r="K122" s="85">
        <v>734</v>
      </c>
      <c r="L122" s="58" t="s">
        <v>698</v>
      </c>
      <c r="M122" s="59"/>
      <c r="N122" s="9">
        <v>573.06</v>
      </c>
      <c r="O122" s="60"/>
      <c r="P122" s="9"/>
      <c r="Q122" s="9"/>
      <c r="R122" s="15" t="s">
        <v>1081</v>
      </c>
      <c r="S122" s="23" t="s">
        <v>1469</v>
      </c>
    </row>
    <row r="123" ht="27" hidden="1" spans="1:19">
      <c r="A123" s="9">
        <v>121</v>
      </c>
      <c r="B123" s="62" t="s">
        <v>1492</v>
      </c>
      <c r="C123" s="53" t="s">
        <v>17</v>
      </c>
      <c r="D123" s="86" t="s">
        <v>1490</v>
      </c>
      <c r="E123" s="62"/>
      <c r="F123" s="54" t="s">
        <v>30</v>
      </c>
      <c r="G123" s="53" t="s">
        <v>1493</v>
      </c>
      <c r="H123" s="63" t="s">
        <v>1494</v>
      </c>
      <c r="I123" s="85">
        <v>553.736</v>
      </c>
      <c r="J123" s="85">
        <v>25.62</v>
      </c>
      <c r="K123" s="85">
        <v>579.356</v>
      </c>
      <c r="L123" s="58" t="s">
        <v>723</v>
      </c>
      <c r="M123" s="87"/>
      <c r="N123" s="9">
        <v>0</v>
      </c>
      <c r="O123" s="60"/>
      <c r="P123" s="9"/>
      <c r="Q123" s="9"/>
      <c r="R123" s="15" t="s">
        <v>1081</v>
      </c>
    </row>
    <row r="124" ht="40.5" spans="1:19">
      <c r="A124" s="9">
        <v>122</v>
      </c>
      <c r="B124" s="62" t="s">
        <v>1495</v>
      </c>
      <c r="C124" s="53" t="s">
        <v>17</v>
      </c>
      <c r="D124" s="53" t="s">
        <v>1496</v>
      </c>
      <c r="E124" s="53" t="s">
        <v>1497</v>
      </c>
      <c r="F124" s="54" t="s">
        <v>18</v>
      </c>
      <c r="G124" s="53" t="s">
        <v>1498</v>
      </c>
      <c r="H124" s="63" t="s">
        <v>1499</v>
      </c>
      <c r="I124" s="85">
        <v>485</v>
      </c>
      <c r="J124" s="85">
        <v>15</v>
      </c>
      <c r="K124" s="85">
        <v>500</v>
      </c>
      <c r="L124" s="58" t="s">
        <v>717</v>
      </c>
      <c r="M124" s="91" t="s">
        <v>1500</v>
      </c>
      <c r="N124" s="9">
        <v>323</v>
      </c>
      <c r="O124" s="60"/>
      <c r="P124" s="9"/>
      <c r="Q124" s="9"/>
      <c r="R124" s="15" t="s">
        <v>1081</v>
      </c>
      <c r="S124" s="23" t="s">
        <v>1501</v>
      </c>
    </row>
    <row r="125" ht="27" spans="1:19">
      <c r="A125" s="9">
        <v>123</v>
      </c>
      <c r="B125" s="62" t="s">
        <v>34</v>
      </c>
      <c r="C125" s="53" t="s">
        <v>17</v>
      </c>
      <c r="D125" s="53" t="s">
        <v>1502</v>
      </c>
      <c r="E125" s="53"/>
      <c r="F125" s="54" t="s">
        <v>30</v>
      </c>
      <c r="G125" s="53" t="s">
        <v>1503</v>
      </c>
      <c r="H125" s="55" t="s">
        <v>1504</v>
      </c>
      <c r="I125" s="85">
        <v>874</v>
      </c>
      <c r="J125" s="85">
        <v>18</v>
      </c>
      <c r="K125" s="85">
        <v>892</v>
      </c>
      <c r="L125" s="58" t="s">
        <v>698</v>
      </c>
      <c r="M125" s="59"/>
      <c r="N125" s="9">
        <v>1278</v>
      </c>
      <c r="O125" s="60"/>
      <c r="P125" s="9"/>
      <c r="Q125" s="9"/>
      <c r="R125" s="15" t="s">
        <v>1081</v>
      </c>
      <c r="S125" s="23" t="s">
        <v>1469</v>
      </c>
    </row>
    <row r="126" ht="27" hidden="1" spans="1:19">
      <c r="A126" s="9">
        <v>124</v>
      </c>
      <c r="B126" s="62" t="s">
        <v>1505</v>
      </c>
      <c r="C126" s="53" t="s">
        <v>17</v>
      </c>
      <c r="D126" s="86" t="s">
        <v>1502</v>
      </c>
      <c r="E126" s="62"/>
      <c r="F126" s="54" t="s">
        <v>30</v>
      </c>
      <c r="G126" s="53" t="s">
        <v>1506</v>
      </c>
      <c r="H126" s="63" t="s">
        <v>1507</v>
      </c>
      <c r="I126" s="85">
        <v>688.987</v>
      </c>
      <c r="J126" s="85">
        <v>19.57</v>
      </c>
      <c r="K126" s="85">
        <v>708.557</v>
      </c>
      <c r="L126" s="58" t="s">
        <v>723</v>
      </c>
      <c r="M126" s="87"/>
      <c r="N126" s="9">
        <v>0</v>
      </c>
      <c r="O126" s="60"/>
      <c r="P126" s="9"/>
      <c r="Q126" s="9"/>
      <c r="R126" s="15" t="s">
        <v>1081</v>
      </c>
    </row>
    <row r="127" ht="40.5" spans="1:19">
      <c r="A127" s="9">
        <v>125</v>
      </c>
      <c r="B127" s="62" t="s">
        <v>36</v>
      </c>
      <c r="C127" s="53" t="s">
        <v>17</v>
      </c>
      <c r="D127" s="53" t="s">
        <v>1508</v>
      </c>
      <c r="E127" s="53" t="s">
        <v>1509</v>
      </c>
      <c r="F127" s="54" t="s">
        <v>37</v>
      </c>
      <c r="G127" s="53" t="s">
        <v>1510</v>
      </c>
      <c r="H127" s="55" t="s">
        <v>1511</v>
      </c>
      <c r="I127" s="85">
        <v>860</v>
      </c>
      <c r="J127" s="85">
        <v>13</v>
      </c>
      <c r="K127" s="85">
        <v>873</v>
      </c>
      <c r="L127" s="58" t="s">
        <v>698</v>
      </c>
      <c r="M127" s="59"/>
      <c r="N127" s="9">
        <v>368.2806</v>
      </c>
      <c r="O127" s="60">
        <v>399.84</v>
      </c>
      <c r="P127" s="64">
        <f t="shared" ref="P127:P128" si="20">K127-O127</f>
        <v>473.16</v>
      </c>
      <c r="Q127" s="65">
        <f t="shared" ref="Q127:Q128" si="21">(K127-O127)/K127</f>
        <v>0.541993127147766</v>
      </c>
      <c r="R127" s="62"/>
      <c r="S127" s="23" t="s">
        <v>1501</v>
      </c>
    </row>
    <row r="128" ht="27" spans="1:19">
      <c r="A128" s="9">
        <v>126</v>
      </c>
      <c r="B128" s="62" t="s">
        <v>40</v>
      </c>
      <c r="C128" s="53" t="s">
        <v>17</v>
      </c>
      <c r="D128" s="53" t="s">
        <v>1508</v>
      </c>
      <c r="E128" s="53" t="s">
        <v>1512</v>
      </c>
      <c r="F128" s="54" t="s">
        <v>37</v>
      </c>
      <c r="G128" s="53" t="s">
        <v>1513</v>
      </c>
      <c r="H128" s="55" t="s">
        <v>1514</v>
      </c>
      <c r="I128" s="85">
        <v>549</v>
      </c>
      <c r="J128" s="85">
        <v>10</v>
      </c>
      <c r="K128" s="85">
        <v>559</v>
      </c>
      <c r="L128" s="58" t="s">
        <v>698</v>
      </c>
      <c r="M128" s="59"/>
      <c r="N128" s="9">
        <v>3878.917</v>
      </c>
      <c r="O128" s="60">
        <v>306</v>
      </c>
      <c r="P128" s="64">
        <f t="shared" si="20"/>
        <v>253</v>
      </c>
      <c r="Q128" s="65">
        <f t="shared" si="21"/>
        <v>0.452593917710197</v>
      </c>
      <c r="R128" s="62"/>
      <c r="S128" s="23" t="s">
        <v>1501</v>
      </c>
    </row>
    <row r="129" spans="1:19">
      <c r="A129" s="9">
        <v>127</v>
      </c>
      <c r="B129" s="62" t="s">
        <v>1515</v>
      </c>
      <c r="C129" s="53" t="s">
        <v>17</v>
      </c>
      <c r="D129" s="53" t="s">
        <v>1516</v>
      </c>
      <c r="E129" s="53"/>
      <c r="F129" s="54" t="s">
        <v>18</v>
      </c>
      <c r="G129" s="53" t="s">
        <v>1517</v>
      </c>
      <c r="H129" s="55" t="s">
        <v>1518</v>
      </c>
      <c r="I129" s="85">
        <v>1967</v>
      </c>
      <c r="J129" s="85">
        <v>87</v>
      </c>
      <c r="K129" s="85">
        <v>2054</v>
      </c>
      <c r="L129" s="58" t="s">
        <v>698</v>
      </c>
      <c r="M129" s="59"/>
      <c r="N129" s="9">
        <v>46</v>
      </c>
      <c r="O129" s="60"/>
      <c r="P129" s="9"/>
      <c r="Q129" s="9"/>
      <c r="R129" s="15" t="s">
        <v>1081</v>
      </c>
      <c r="S129" s="23" t="s">
        <v>1469</v>
      </c>
    </row>
    <row r="130" ht="27" spans="1:19">
      <c r="A130" s="9">
        <v>128</v>
      </c>
      <c r="B130" s="62" t="s">
        <v>42</v>
      </c>
      <c r="C130" s="53" t="s">
        <v>17</v>
      </c>
      <c r="D130" s="53" t="s">
        <v>1519</v>
      </c>
      <c r="E130" s="53"/>
      <c r="F130" s="54" t="s">
        <v>43</v>
      </c>
      <c r="G130" s="53" t="s">
        <v>1520</v>
      </c>
      <c r="H130" s="55" t="s">
        <v>44</v>
      </c>
      <c r="I130" s="85">
        <v>2635.6779</v>
      </c>
      <c r="J130" s="85">
        <v>66.8899999999999</v>
      </c>
      <c r="K130" s="85">
        <v>2702.5679</v>
      </c>
      <c r="L130" s="58" t="s">
        <v>698</v>
      </c>
      <c r="M130" s="59"/>
      <c r="N130" s="9">
        <v>321.006</v>
      </c>
      <c r="O130" s="60"/>
      <c r="P130" s="9"/>
      <c r="Q130" s="9"/>
      <c r="R130" s="15" t="s">
        <v>1081</v>
      </c>
      <c r="S130" s="23" t="s">
        <v>1469</v>
      </c>
    </row>
    <row r="131" ht="27" hidden="1" spans="1:19">
      <c r="A131" s="9">
        <v>129</v>
      </c>
      <c r="B131" s="62" t="s">
        <v>1521</v>
      </c>
      <c r="C131" s="53" t="s">
        <v>17</v>
      </c>
      <c r="D131" s="86" t="s">
        <v>1519</v>
      </c>
      <c r="E131" s="62"/>
      <c r="F131" s="54" t="s">
        <v>43</v>
      </c>
      <c r="G131" s="66" t="s">
        <v>1522</v>
      </c>
      <c r="H131" s="63" t="s">
        <v>1523</v>
      </c>
      <c r="I131" s="85">
        <v>2354.047</v>
      </c>
      <c r="J131" s="85">
        <v>56.29</v>
      </c>
      <c r="K131" s="85">
        <v>2410.337</v>
      </c>
      <c r="L131" s="58" t="s">
        <v>723</v>
      </c>
      <c r="M131" s="87"/>
      <c r="N131" s="9">
        <v>1</v>
      </c>
      <c r="O131" s="60"/>
      <c r="P131" s="9"/>
      <c r="Q131" s="9"/>
      <c r="R131" s="15" t="s">
        <v>1081</v>
      </c>
    </row>
    <row r="132" spans="1:19">
      <c r="A132" s="9">
        <v>130</v>
      </c>
      <c r="B132" s="62" t="s">
        <v>45</v>
      </c>
      <c r="C132" s="53" t="s">
        <v>17</v>
      </c>
      <c r="D132" s="53" t="s">
        <v>1524</v>
      </c>
      <c r="E132" s="53" t="s">
        <v>1525</v>
      </c>
      <c r="F132" s="54" t="s">
        <v>46</v>
      </c>
      <c r="G132" s="53" t="s">
        <v>1526</v>
      </c>
      <c r="H132" s="55" t="s">
        <v>47</v>
      </c>
      <c r="I132" s="85">
        <v>1429</v>
      </c>
      <c r="J132" s="85">
        <v>46</v>
      </c>
      <c r="K132" s="85">
        <v>1475</v>
      </c>
      <c r="L132" s="58" t="s">
        <v>698</v>
      </c>
      <c r="M132" s="59"/>
      <c r="N132" s="9">
        <v>26</v>
      </c>
      <c r="O132" s="60">
        <v>1329.06</v>
      </c>
      <c r="P132" s="64">
        <f>K132-O132</f>
        <v>145.94</v>
      </c>
      <c r="Q132" s="65">
        <f>(K132-O132)/K132</f>
        <v>0.098942372881356</v>
      </c>
      <c r="R132" s="62"/>
      <c r="S132" s="23" t="s">
        <v>1469</v>
      </c>
    </row>
    <row r="133" ht="40.5" hidden="1" spans="1:19">
      <c r="A133" s="9">
        <v>131</v>
      </c>
      <c r="B133" s="62" t="s">
        <v>1527</v>
      </c>
      <c r="C133" s="53" t="s">
        <v>17</v>
      </c>
      <c r="D133" s="86" t="s">
        <v>1524</v>
      </c>
      <c r="E133" s="62" t="s">
        <v>1525</v>
      </c>
      <c r="F133" s="54" t="s">
        <v>46</v>
      </c>
      <c r="G133" s="66" t="s">
        <v>1528</v>
      </c>
      <c r="H133" s="63" t="s">
        <v>1529</v>
      </c>
      <c r="I133" s="85">
        <v>1141.459</v>
      </c>
      <c r="J133" s="85">
        <v>48.95</v>
      </c>
      <c r="K133" s="85">
        <v>1190.409</v>
      </c>
      <c r="L133" s="58" t="s">
        <v>723</v>
      </c>
      <c r="M133" s="87"/>
      <c r="N133" s="9">
        <v>0</v>
      </c>
      <c r="O133" s="60"/>
      <c r="P133" s="9"/>
      <c r="Q133" s="9"/>
      <c r="R133" s="15" t="s">
        <v>1081</v>
      </c>
    </row>
    <row r="134" spans="1:19">
      <c r="A134" s="9">
        <v>132</v>
      </c>
      <c r="B134" s="62" t="s">
        <v>48</v>
      </c>
      <c r="C134" s="53" t="s">
        <v>17</v>
      </c>
      <c r="D134" s="53" t="s">
        <v>1524</v>
      </c>
      <c r="E134" s="53" t="s">
        <v>1530</v>
      </c>
      <c r="F134" s="54" t="s">
        <v>46</v>
      </c>
      <c r="G134" s="53" t="s">
        <v>1531</v>
      </c>
      <c r="H134" s="55" t="s">
        <v>49</v>
      </c>
      <c r="I134" s="85">
        <v>1030</v>
      </c>
      <c r="J134" s="85">
        <v>33</v>
      </c>
      <c r="K134" s="85">
        <v>1063</v>
      </c>
      <c r="L134" s="58" t="s">
        <v>698</v>
      </c>
      <c r="M134" s="59"/>
      <c r="N134" s="9">
        <v>190</v>
      </c>
      <c r="O134" s="60">
        <v>721.14</v>
      </c>
      <c r="P134" s="64">
        <f>K134-O134</f>
        <v>341.86</v>
      </c>
      <c r="Q134" s="65">
        <f>(K134-O134)/K134</f>
        <v>0.321599247412982</v>
      </c>
      <c r="R134" s="62"/>
      <c r="S134" s="23" t="s">
        <v>1469</v>
      </c>
    </row>
    <row r="135" ht="40.5" hidden="1" spans="1:19">
      <c r="A135" s="9">
        <v>133</v>
      </c>
      <c r="B135" s="62" t="s">
        <v>1532</v>
      </c>
      <c r="C135" s="53" t="s">
        <v>17</v>
      </c>
      <c r="D135" s="86" t="s">
        <v>1524</v>
      </c>
      <c r="E135" s="62" t="s">
        <v>1530</v>
      </c>
      <c r="F135" s="54" t="s">
        <v>46</v>
      </c>
      <c r="G135" s="66" t="s">
        <v>1533</v>
      </c>
      <c r="H135" s="63" t="s">
        <v>1534</v>
      </c>
      <c r="I135" s="85">
        <v>716.773</v>
      </c>
      <c r="J135" s="85">
        <v>41.01</v>
      </c>
      <c r="K135" s="85">
        <v>757.783</v>
      </c>
      <c r="L135" s="58" t="s">
        <v>723</v>
      </c>
      <c r="M135" s="87"/>
      <c r="N135" s="9">
        <v>0</v>
      </c>
      <c r="O135" s="60"/>
      <c r="P135" s="9"/>
      <c r="Q135" s="9"/>
      <c r="R135" s="15" t="s">
        <v>1081</v>
      </c>
    </row>
    <row r="136" hidden="1" spans="1:19">
      <c r="A136" s="9">
        <v>134</v>
      </c>
      <c r="B136" s="62" t="s">
        <v>1535</v>
      </c>
      <c r="C136" s="53" t="s">
        <v>17</v>
      </c>
      <c r="D136" s="62" t="s">
        <v>1536</v>
      </c>
      <c r="E136" s="62"/>
      <c r="F136" s="54" t="s">
        <v>55</v>
      </c>
      <c r="G136" s="53" t="s">
        <v>1537</v>
      </c>
      <c r="H136" s="63" t="s">
        <v>1538</v>
      </c>
      <c r="I136" s="85">
        <v>2731</v>
      </c>
      <c r="J136" s="85">
        <v>57</v>
      </c>
      <c r="K136" s="85">
        <v>2788</v>
      </c>
      <c r="L136" s="58" t="s">
        <v>723</v>
      </c>
      <c r="M136" s="59"/>
      <c r="N136" s="9">
        <v>6</v>
      </c>
      <c r="O136" s="60"/>
      <c r="P136" s="9"/>
      <c r="Q136" s="9"/>
      <c r="R136" s="15" t="s">
        <v>1081</v>
      </c>
    </row>
    <row r="137" ht="27" hidden="1" spans="1:19">
      <c r="A137" s="9">
        <v>135</v>
      </c>
      <c r="B137" s="62" t="s">
        <v>1539</v>
      </c>
      <c r="C137" s="53" t="s">
        <v>17</v>
      </c>
      <c r="D137" s="86" t="s">
        <v>1536</v>
      </c>
      <c r="E137" s="62"/>
      <c r="F137" s="54" t="s">
        <v>55</v>
      </c>
      <c r="G137" s="53" t="s">
        <v>1540</v>
      </c>
      <c r="H137" s="63" t="s">
        <v>1541</v>
      </c>
      <c r="I137" s="85">
        <v>2499.601</v>
      </c>
      <c r="J137" s="85">
        <v>57.81</v>
      </c>
      <c r="K137" s="85">
        <v>2557.411</v>
      </c>
      <c r="L137" s="58" t="s">
        <v>723</v>
      </c>
      <c r="M137" s="87"/>
      <c r="N137" s="9">
        <v>0</v>
      </c>
      <c r="O137" s="60"/>
      <c r="P137" s="9"/>
      <c r="Q137" s="9"/>
      <c r="R137" s="15" t="s">
        <v>1081</v>
      </c>
    </row>
    <row r="138" spans="1:19">
      <c r="A138" s="9">
        <v>136</v>
      </c>
      <c r="B138" s="62" t="s">
        <v>50</v>
      </c>
      <c r="C138" s="53" t="s">
        <v>17</v>
      </c>
      <c r="D138" s="53" t="s">
        <v>1542</v>
      </c>
      <c r="E138" s="53"/>
      <c r="F138" s="54" t="s">
        <v>18</v>
      </c>
      <c r="G138" s="53" t="s">
        <v>1543</v>
      </c>
      <c r="H138" s="55" t="s">
        <v>1544</v>
      </c>
      <c r="I138" s="92">
        <v>450</v>
      </c>
      <c r="J138" s="92">
        <v>6.75</v>
      </c>
      <c r="K138" s="85">
        <v>456.75</v>
      </c>
      <c r="L138" s="58" t="s">
        <v>698</v>
      </c>
      <c r="M138" s="59"/>
      <c r="N138" s="9">
        <v>355</v>
      </c>
      <c r="O138" s="60"/>
      <c r="P138" s="9"/>
      <c r="Q138" s="9"/>
      <c r="R138" s="15" t="s">
        <v>1081</v>
      </c>
      <c r="S138" s="23" t="s">
        <v>1501</v>
      </c>
    </row>
    <row r="139" ht="27" spans="1:19">
      <c r="A139" s="9">
        <v>137</v>
      </c>
      <c r="B139" s="62" t="s">
        <v>52</v>
      </c>
      <c r="C139" s="53" t="s">
        <v>17</v>
      </c>
      <c r="D139" s="53" t="s">
        <v>1545</v>
      </c>
      <c r="E139" s="53"/>
      <c r="F139" s="54" t="s">
        <v>43</v>
      </c>
      <c r="G139" s="53" t="s">
        <v>1546</v>
      </c>
      <c r="H139" s="63" t="s">
        <v>53</v>
      </c>
      <c r="I139" s="85">
        <v>1152.9</v>
      </c>
      <c r="J139" s="85">
        <v>21</v>
      </c>
      <c r="K139" s="85">
        <v>1173.9</v>
      </c>
      <c r="L139" s="58" t="s">
        <v>717</v>
      </c>
      <c r="M139" s="91" t="s">
        <v>1547</v>
      </c>
      <c r="N139" s="9">
        <v>3896.7187</v>
      </c>
      <c r="O139" s="60">
        <v>432.48</v>
      </c>
      <c r="P139" s="64">
        <f>K139-O139</f>
        <v>741.42</v>
      </c>
      <c r="Q139" s="65">
        <f>(K139-O139)/K139</f>
        <v>0.631587017633529</v>
      </c>
      <c r="R139" s="62"/>
      <c r="S139" s="23" t="s">
        <v>1469</v>
      </c>
    </row>
    <row r="140" ht="27" hidden="1" spans="1:19">
      <c r="A140" s="9">
        <v>138</v>
      </c>
      <c r="B140" s="62" t="s">
        <v>1548</v>
      </c>
      <c r="C140" s="53" t="s">
        <v>17</v>
      </c>
      <c r="D140" s="86" t="s">
        <v>1545</v>
      </c>
      <c r="E140" s="62"/>
      <c r="F140" s="54" t="s">
        <v>43</v>
      </c>
      <c r="G140" s="53" t="s">
        <v>1549</v>
      </c>
      <c r="H140" s="63" t="s">
        <v>1550</v>
      </c>
      <c r="I140" s="85">
        <v>781.185</v>
      </c>
      <c r="J140" s="85">
        <v>23.56</v>
      </c>
      <c r="K140" s="85">
        <v>804.745</v>
      </c>
      <c r="L140" s="58" t="s">
        <v>723</v>
      </c>
      <c r="M140" s="87"/>
      <c r="N140" s="9">
        <v>0</v>
      </c>
      <c r="O140" s="60"/>
      <c r="P140" s="9"/>
      <c r="Q140" s="9"/>
      <c r="R140" s="15" t="s">
        <v>1081</v>
      </c>
    </row>
    <row r="141" spans="1:19">
      <c r="A141" s="9">
        <v>139</v>
      </c>
      <c r="B141" s="62" t="s">
        <v>54</v>
      </c>
      <c r="C141" s="53" t="s">
        <v>17</v>
      </c>
      <c r="D141" s="53" t="s">
        <v>1551</v>
      </c>
      <c r="E141" s="53"/>
      <c r="F141" s="54" t="s">
        <v>55</v>
      </c>
      <c r="G141" s="53" t="s">
        <v>1552</v>
      </c>
      <c r="H141" s="55" t="s">
        <v>1553</v>
      </c>
      <c r="I141" s="85">
        <v>1266</v>
      </c>
      <c r="J141" s="85">
        <v>33</v>
      </c>
      <c r="K141" s="85">
        <v>1299</v>
      </c>
      <c r="L141" s="58" t="s">
        <v>698</v>
      </c>
      <c r="M141" s="59"/>
      <c r="N141" s="9">
        <v>70</v>
      </c>
      <c r="O141" s="60"/>
      <c r="P141" s="9"/>
      <c r="Q141" s="9"/>
      <c r="R141" s="15" t="s">
        <v>1081</v>
      </c>
      <c r="S141" s="23" t="s">
        <v>1469</v>
      </c>
    </row>
    <row r="142" ht="27" hidden="1" spans="1:19">
      <c r="A142" s="9">
        <v>140</v>
      </c>
      <c r="B142" s="62" t="s">
        <v>1554</v>
      </c>
      <c r="C142" s="53" t="s">
        <v>17</v>
      </c>
      <c r="D142" s="86" t="s">
        <v>1551</v>
      </c>
      <c r="E142" s="62"/>
      <c r="F142" s="54" t="s">
        <v>55</v>
      </c>
      <c r="G142" s="53" t="s">
        <v>1555</v>
      </c>
      <c r="H142" s="63" t="s">
        <v>1556</v>
      </c>
      <c r="I142" s="85">
        <v>880.323</v>
      </c>
      <c r="J142" s="85">
        <v>33.43</v>
      </c>
      <c r="K142" s="85">
        <v>913.753</v>
      </c>
      <c r="L142" s="58" t="s">
        <v>723</v>
      </c>
      <c r="M142" s="87"/>
      <c r="N142" s="9">
        <v>0</v>
      </c>
      <c r="O142" s="60"/>
      <c r="P142" s="9"/>
      <c r="Q142" s="9"/>
      <c r="R142" s="15" t="s">
        <v>1081</v>
      </c>
    </row>
    <row r="143" hidden="1" spans="1:19">
      <c r="A143" s="9">
        <v>141</v>
      </c>
      <c r="B143" s="62" t="s">
        <v>1557</v>
      </c>
      <c r="C143" s="53" t="s">
        <v>17</v>
      </c>
      <c r="D143" s="62" t="s">
        <v>1558</v>
      </c>
      <c r="E143" s="62"/>
      <c r="F143" s="54" t="s">
        <v>55</v>
      </c>
      <c r="G143" s="53" t="s">
        <v>1559</v>
      </c>
      <c r="H143" s="63" t="s">
        <v>1560</v>
      </c>
      <c r="I143" s="85">
        <v>724</v>
      </c>
      <c r="J143" s="85">
        <v>18</v>
      </c>
      <c r="K143" s="85">
        <v>742</v>
      </c>
      <c r="L143" s="58" t="s">
        <v>723</v>
      </c>
      <c r="M143" s="59"/>
      <c r="N143" s="9">
        <v>4</v>
      </c>
      <c r="O143" s="60"/>
      <c r="P143" s="9"/>
      <c r="Q143" s="9"/>
      <c r="R143" s="15" t="s">
        <v>1081</v>
      </c>
    </row>
    <row r="144" ht="40.5" hidden="1" spans="1:19">
      <c r="A144" s="9">
        <v>142</v>
      </c>
      <c r="B144" s="62" t="s">
        <v>1561</v>
      </c>
      <c r="C144" s="53" t="s">
        <v>17</v>
      </c>
      <c r="D144" s="86" t="s">
        <v>1558</v>
      </c>
      <c r="E144" s="62"/>
      <c r="F144" s="54" t="s">
        <v>55</v>
      </c>
      <c r="G144" s="66" t="s">
        <v>1562</v>
      </c>
      <c r="H144" s="63" t="s">
        <v>1563</v>
      </c>
      <c r="I144" s="85">
        <v>579.379</v>
      </c>
      <c r="J144" s="85">
        <v>13.68</v>
      </c>
      <c r="K144" s="85">
        <v>593.059</v>
      </c>
      <c r="L144" s="58" t="s">
        <v>723</v>
      </c>
      <c r="M144" s="87"/>
      <c r="N144" s="9">
        <v>2</v>
      </c>
      <c r="O144" s="60"/>
      <c r="P144" s="9"/>
      <c r="Q144" s="9"/>
      <c r="R144" s="15" t="s">
        <v>1081</v>
      </c>
    </row>
    <row r="145" spans="1:19">
      <c r="A145" s="9">
        <v>143</v>
      </c>
      <c r="B145" s="93" t="s">
        <v>57</v>
      </c>
      <c r="C145" s="53" t="s">
        <v>17</v>
      </c>
      <c r="D145" s="53" t="s">
        <v>1564</v>
      </c>
      <c r="E145" s="53"/>
      <c r="F145" s="54" t="s">
        <v>55</v>
      </c>
      <c r="G145" s="53" t="s">
        <v>1565</v>
      </c>
      <c r="H145" s="55" t="s">
        <v>58</v>
      </c>
      <c r="I145" s="85">
        <v>550</v>
      </c>
      <c r="J145" s="85">
        <v>13</v>
      </c>
      <c r="K145" s="85">
        <v>563</v>
      </c>
      <c r="L145" s="94" t="s">
        <v>1079</v>
      </c>
      <c r="M145" s="59" t="s">
        <v>1566</v>
      </c>
      <c r="N145" s="9">
        <v>40</v>
      </c>
      <c r="O145" s="60"/>
      <c r="P145" s="9"/>
      <c r="Q145" s="9"/>
      <c r="R145" s="15" t="s">
        <v>1081</v>
      </c>
      <c r="S145" s="23" t="s">
        <v>1469</v>
      </c>
    </row>
    <row r="146" ht="27" hidden="1" spans="1:19">
      <c r="A146" s="9">
        <v>144</v>
      </c>
      <c r="B146" s="62" t="s">
        <v>1567</v>
      </c>
      <c r="C146" s="53" t="s">
        <v>17</v>
      </c>
      <c r="D146" s="86" t="s">
        <v>1568</v>
      </c>
      <c r="E146" s="62"/>
      <c r="F146" s="54" t="s">
        <v>55</v>
      </c>
      <c r="G146" s="66" t="s">
        <v>1569</v>
      </c>
      <c r="H146" s="63" t="s">
        <v>1570</v>
      </c>
      <c r="I146" s="85">
        <v>347.518</v>
      </c>
      <c r="J146" s="85">
        <v>11.75</v>
      </c>
      <c r="K146" s="85">
        <v>359.268</v>
      </c>
      <c r="L146" s="58" t="s">
        <v>723</v>
      </c>
      <c r="M146" s="87"/>
      <c r="N146" s="9">
        <v>0</v>
      </c>
      <c r="O146" s="60"/>
      <c r="P146" s="9"/>
      <c r="Q146" s="9"/>
      <c r="R146" s="15" t="s">
        <v>1081</v>
      </c>
    </row>
    <row r="147" spans="1:19">
      <c r="A147" s="9">
        <v>145</v>
      </c>
      <c r="B147" s="93" t="s">
        <v>59</v>
      </c>
      <c r="C147" s="53" t="s">
        <v>17</v>
      </c>
      <c r="D147" s="53" t="s">
        <v>1571</v>
      </c>
      <c r="E147" s="53"/>
      <c r="F147" s="54" t="s">
        <v>55</v>
      </c>
      <c r="G147" s="53" t="s">
        <v>1572</v>
      </c>
      <c r="H147" s="55" t="s">
        <v>1573</v>
      </c>
      <c r="I147" s="85">
        <v>439</v>
      </c>
      <c r="J147" s="85">
        <v>11</v>
      </c>
      <c r="K147" s="85">
        <v>450</v>
      </c>
      <c r="L147" s="94" t="s">
        <v>698</v>
      </c>
      <c r="M147" s="59"/>
      <c r="N147" s="9">
        <v>8182.362</v>
      </c>
      <c r="O147" s="60"/>
      <c r="P147" s="9"/>
      <c r="Q147" s="9"/>
      <c r="R147" s="15" t="s">
        <v>1081</v>
      </c>
      <c r="S147" s="23" t="s">
        <v>1469</v>
      </c>
    </row>
    <row r="148" spans="1:19">
      <c r="A148" s="9">
        <v>146</v>
      </c>
      <c r="B148" s="93" t="s">
        <v>62</v>
      </c>
      <c r="C148" s="53" t="s">
        <v>17</v>
      </c>
      <c r="D148" s="53" t="s">
        <v>1574</v>
      </c>
      <c r="E148" s="53"/>
      <c r="F148" s="54" t="s">
        <v>63</v>
      </c>
      <c r="G148" s="53" t="s">
        <v>1575</v>
      </c>
      <c r="H148" s="55" t="s">
        <v>1576</v>
      </c>
      <c r="I148" s="85">
        <v>586</v>
      </c>
      <c r="J148" s="85">
        <v>14</v>
      </c>
      <c r="K148" s="85">
        <v>600</v>
      </c>
      <c r="L148" s="94" t="s">
        <v>1079</v>
      </c>
      <c r="M148" s="59"/>
      <c r="N148" s="9">
        <v>1465</v>
      </c>
      <c r="O148" s="60"/>
      <c r="P148" s="9"/>
      <c r="Q148" s="9"/>
      <c r="R148" s="15" t="s">
        <v>1081</v>
      </c>
      <c r="S148" s="23" t="s">
        <v>1469</v>
      </c>
    </row>
    <row r="149" ht="27" hidden="1" spans="1:19">
      <c r="A149" s="9">
        <v>147</v>
      </c>
      <c r="B149" s="62" t="s">
        <v>1577</v>
      </c>
      <c r="C149" s="53" t="s">
        <v>17</v>
      </c>
      <c r="D149" s="62" t="s">
        <v>1578</v>
      </c>
      <c r="E149" s="62" t="s">
        <v>1525</v>
      </c>
      <c r="F149" s="54" t="s">
        <v>46</v>
      </c>
      <c r="G149" s="53" t="s">
        <v>1579</v>
      </c>
      <c r="H149" s="63" t="s">
        <v>1580</v>
      </c>
      <c r="I149" s="85">
        <v>1619</v>
      </c>
      <c r="J149" s="85">
        <v>57</v>
      </c>
      <c r="K149" s="85">
        <v>1676</v>
      </c>
      <c r="L149" s="58" t="s">
        <v>723</v>
      </c>
      <c r="M149" s="59"/>
      <c r="N149" s="9">
        <v>3</v>
      </c>
      <c r="O149" s="60"/>
      <c r="P149" s="9"/>
      <c r="Q149" s="9"/>
      <c r="R149" s="15" t="s">
        <v>1081</v>
      </c>
    </row>
    <row r="150" ht="40.5" hidden="1" spans="1:19">
      <c r="A150" s="9">
        <v>148</v>
      </c>
      <c r="B150" s="62" t="s">
        <v>1581</v>
      </c>
      <c r="C150" s="53" t="s">
        <v>17</v>
      </c>
      <c r="D150" s="86" t="s">
        <v>1578</v>
      </c>
      <c r="E150" s="62" t="s">
        <v>1525</v>
      </c>
      <c r="F150" s="54" t="s">
        <v>46</v>
      </c>
      <c r="G150" s="66" t="s">
        <v>1582</v>
      </c>
      <c r="H150" s="63" t="s">
        <v>1583</v>
      </c>
      <c r="I150" s="85">
        <v>1293.812</v>
      </c>
      <c r="J150" s="85">
        <v>55.97085</v>
      </c>
      <c r="K150" s="85">
        <v>1349.78285</v>
      </c>
      <c r="L150" s="58" t="s">
        <v>723</v>
      </c>
      <c r="M150" s="87"/>
      <c r="N150" s="9">
        <v>0</v>
      </c>
      <c r="O150" s="60"/>
      <c r="P150" s="9"/>
      <c r="Q150" s="9"/>
      <c r="R150" s="15" t="s">
        <v>1081</v>
      </c>
    </row>
    <row r="151" ht="40.5" spans="1:19">
      <c r="A151" s="9">
        <v>149</v>
      </c>
      <c r="B151" s="93" t="s">
        <v>68</v>
      </c>
      <c r="C151" s="53" t="s">
        <v>17</v>
      </c>
      <c r="D151" s="53" t="s">
        <v>1584</v>
      </c>
      <c r="E151" s="53"/>
      <c r="F151" s="54" t="s">
        <v>18</v>
      </c>
      <c r="G151" s="53" t="s">
        <v>1585</v>
      </c>
      <c r="H151" s="55" t="s">
        <v>69</v>
      </c>
      <c r="I151" s="85">
        <v>564</v>
      </c>
      <c r="J151" s="85">
        <v>14</v>
      </c>
      <c r="K151" s="85">
        <v>578</v>
      </c>
      <c r="L151" s="94" t="s">
        <v>1079</v>
      </c>
      <c r="M151" s="59"/>
      <c r="N151" s="9">
        <v>45</v>
      </c>
      <c r="O151" s="60">
        <v>484.5</v>
      </c>
      <c r="P151" s="64">
        <f>K151-O151</f>
        <v>93.5</v>
      </c>
      <c r="Q151" s="65">
        <f>(K151-O151)/K151</f>
        <v>0.161764705882353</v>
      </c>
      <c r="R151" s="62"/>
      <c r="S151" s="23" t="s">
        <v>1469</v>
      </c>
    </row>
    <row r="152" ht="40.5" hidden="1" spans="1:19">
      <c r="A152" s="9">
        <v>150</v>
      </c>
      <c r="B152" s="62" t="s">
        <v>1586</v>
      </c>
      <c r="C152" s="53" t="s">
        <v>17</v>
      </c>
      <c r="D152" s="86" t="s">
        <v>1584</v>
      </c>
      <c r="E152" s="62"/>
      <c r="F152" s="54" t="s">
        <v>18</v>
      </c>
      <c r="G152" s="53" t="s">
        <v>1587</v>
      </c>
      <c r="H152" s="63" t="s">
        <v>1588</v>
      </c>
      <c r="I152" s="85">
        <v>380.337</v>
      </c>
      <c r="J152" s="85">
        <v>16.2309</v>
      </c>
      <c r="K152" s="85">
        <v>396.5679</v>
      </c>
      <c r="L152" s="58" t="s">
        <v>723</v>
      </c>
      <c r="M152" s="87"/>
      <c r="N152" s="9">
        <v>0</v>
      </c>
      <c r="O152" s="60"/>
      <c r="P152" s="9"/>
      <c r="Q152" s="9"/>
      <c r="R152" s="15" t="s">
        <v>1081</v>
      </c>
    </row>
    <row r="153" ht="27" hidden="1" spans="1:19">
      <c r="A153" s="9">
        <v>151</v>
      </c>
      <c r="B153" s="62" t="s">
        <v>1589</v>
      </c>
      <c r="C153" s="53" t="s">
        <v>17</v>
      </c>
      <c r="D153" s="62" t="s">
        <v>1590</v>
      </c>
      <c r="E153" s="62"/>
      <c r="F153" s="54" t="s">
        <v>18</v>
      </c>
      <c r="G153" s="53" t="s">
        <v>1591</v>
      </c>
      <c r="H153" s="63" t="s">
        <v>1592</v>
      </c>
      <c r="I153" s="85">
        <v>594</v>
      </c>
      <c r="J153" s="85">
        <v>15</v>
      </c>
      <c r="K153" s="85">
        <v>609</v>
      </c>
      <c r="L153" s="58" t="s">
        <v>723</v>
      </c>
      <c r="M153" s="59"/>
      <c r="N153" s="9">
        <v>7</v>
      </c>
      <c r="O153" s="60">
        <v>374.34</v>
      </c>
      <c r="P153" s="64">
        <f>K153-O153</f>
        <v>234.66</v>
      </c>
      <c r="Q153" s="65">
        <f>(K153-O153)/K153</f>
        <v>0.385320197044335</v>
      </c>
      <c r="R153" s="62"/>
    </row>
    <row r="154" ht="27" hidden="1" spans="1:19">
      <c r="A154" s="9">
        <v>152</v>
      </c>
      <c r="B154" s="62" t="s">
        <v>1593</v>
      </c>
      <c r="C154" s="53" t="s">
        <v>17</v>
      </c>
      <c r="D154" s="86" t="s">
        <v>1590</v>
      </c>
      <c r="E154" s="62"/>
      <c r="F154" s="54" t="s">
        <v>18</v>
      </c>
      <c r="G154" s="53" t="s">
        <v>1594</v>
      </c>
      <c r="H154" s="63" t="s">
        <v>1595</v>
      </c>
      <c r="I154" s="85">
        <v>468.657</v>
      </c>
      <c r="J154" s="85">
        <v>12.82845</v>
      </c>
      <c r="K154" s="85">
        <v>481.48545</v>
      </c>
      <c r="L154" s="58" t="s">
        <v>723</v>
      </c>
      <c r="M154" s="87"/>
      <c r="N154" s="9">
        <v>0</v>
      </c>
      <c r="O154" s="60"/>
      <c r="P154" s="9"/>
      <c r="Q154" s="9"/>
      <c r="R154" s="15" t="s">
        <v>1081</v>
      </c>
    </row>
    <row r="155" ht="27" spans="1:19">
      <c r="A155" s="9">
        <v>153</v>
      </c>
      <c r="B155" s="62" t="s">
        <v>70</v>
      </c>
      <c r="C155" s="53" t="s">
        <v>17</v>
      </c>
      <c r="D155" s="62" t="s">
        <v>1596</v>
      </c>
      <c r="E155" s="62"/>
      <c r="F155" s="54" t="s">
        <v>18</v>
      </c>
      <c r="G155" s="66" t="s">
        <v>1597</v>
      </c>
      <c r="H155" s="63" t="s">
        <v>71</v>
      </c>
      <c r="I155" s="92">
        <v>721.53</v>
      </c>
      <c r="J155" s="92">
        <v>10.82295</v>
      </c>
      <c r="K155" s="85">
        <v>732.35295</v>
      </c>
      <c r="L155" s="58" t="s">
        <v>698</v>
      </c>
      <c r="M155" s="59"/>
      <c r="N155" s="9">
        <v>18</v>
      </c>
      <c r="O155" s="60"/>
      <c r="P155" s="9"/>
      <c r="Q155" s="9"/>
      <c r="R155" s="15" t="s">
        <v>1081</v>
      </c>
      <c r="S155" s="23" t="s">
        <v>1469</v>
      </c>
    </row>
    <row r="156" spans="1:19">
      <c r="A156" s="9">
        <v>154</v>
      </c>
      <c r="B156" s="62" t="s">
        <v>72</v>
      </c>
      <c r="C156" s="53" t="s">
        <v>17</v>
      </c>
      <c r="D156" s="53" t="s">
        <v>850</v>
      </c>
      <c r="E156" s="53"/>
      <c r="F156" s="54" t="s">
        <v>73</v>
      </c>
      <c r="G156" s="53" t="s">
        <v>1598</v>
      </c>
      <c r="H156" s="55" t="s">
        <v>74</v>
      </c>
      <c r="I156" s="85">
        <v>339</v>
      </c>
      <c r="J156" s="85">
        <v>11</v>
      </c>
      <c r="K156" s="85">
        <v>350</v>
      </c>
      <c r="L156" s="58" t="s">
        <v>698</v>
      </c>
      <c r="M156" s="59"/>
      <c r="N156" s="9">
        <v>669.94</v>
      </c>
      <c r="O156" s="60"/>
      <c r="P156" s="9"/>
      <c r="Q156" s="9"/>
      <c r="R156" s="15" t="s">
        <v>1081</v>
      </c>
      <c r="S156" s="23" t="s">
        <v>1469</v>
      </c>
    </row>
    <row r="157" ht="27" spans="1:19">
      <c r="A157" s="9">
        <v>155</v>
      </c>
      <c r="B157" s="62" t="s">
        <v>75</v>
      </c>
      <c r="C157" s="53" t="s">
        <v>17</v>
      </c>
      <c r="D157" s="53" t="s">
        <v>519</v>
      </c>
      <c r="E157" s="53"/>
      <c r="F157" s="54" t="s">
        <v>76</v>
      </c>
      <c r="G157" s="53" t="s">
        <v>1599</v>
      </c>
      <c r="H157" s="55" t="s">
        <v>854</v>
      </c>
      <c r="I157" s="85">
        <v>145</v>
      </c>
      <c r="J157" s="85">
        <v>5</v>
      </c>
      <c r="K157" s="85">
        <v>150</v>
      </c>
      <c r="L157" s="58" t="s">
        <v>698</v>
      </c>
      <c r="M157" s="59"/>
      <c r="N157" s="9">
        <v>637.1</v>
      </c>
      <c r="O157" s="60"/>
      <c r="P157" s="9"/>
      <c r="Q157" s="9"/>
      <c r="R157" s="15" t="s">
        <v>1081</v>
      </c>
      <c r="S157" s="23" t="s">
        <v>1469</v>
      </c>
    </row>
    <row r="158" ht="27" spans="1:19">
      <c r="A158" s="9">
        <v>156</v>
      </c>
      <c r="B158" s="62" t="s">
        <v>78</v>
      </c>
      <c r="C158" s="53" t="s">
        <v>17</v>
      </c>
      <c r="D158" s="53" t="s">
        <v>522</v>
      </c>
      <c r="E158" s="53"/>
      <c r="F158" s="54" t="s">
        <v>76</v>
      </c>
      <c r="G158" s="53" t="s">
        <v>1600</v>
      </c>
      <c r="H158" s="55" t="s">
        <v>854</v>
      </c>
      <c r="I158" s="85">
        <v>110.1</v>
      </c>
      <c r="J158" s="92">
        <v>1.6515</v>
      </c>
      <c r="K158" s="85">
        <v>111.7515</v>
      </c>
      <c r="L158" s="58" t="s">
        <v>698</v>
      </c>
      <c r="M158" s="59"/>
      <c r="N158" s="9">
        <v>3815.5008</v>
      </c>
      <c r="O158" s="60"/>
      <c r="P158" s="9"/>
      <c r="Q158" s="9"/>
      <c r="R158" s="15" t="s">
        <v>1081</v>
      </c>
      <c r="S158" s="23" t="s">
        <v>1469</v>
      </c>
    </row>
    <row r="159" spans="1:19">
      <c r="A159" s="9">
        <v>157</v>
      </c>
      <c r="B159" s="62" t="s">
        <v>79</v>
      </c>
      <c r="C159" s="53" t="s">
        <v>17</v>
      </c>
      <c r="D159" s="53" t="s">
        <v>859</v>
      </c>
      <c r="E159" s="53"/>
      <c r="F159" s="54" t="s">
        <v>73</v>
      </c>
      <c r="G159" s="53" t="s">
        <v>1601</v>
      </c>
      <c r="H159" s="55" t="s">
        <v>80</v>
      </c>
      <c r="I159" s="85">
        <v>543</v>
      </c>
      <c r="J159" s="85">
        <v>17</v>
      </c>
      <c r="K159" s="85">
        <v>560</v>
      </c>
      <c r="L159" s="58" t="s">
        <v>698</v>
      </c>
      <c r="M159" s="59"/>
      <c r="N159" s="9">
        <v>98.96</v>
      </c>
      <c r="O159" s="60"/>
      <c r="P159" s="9"/>
      <c r="Q159" s="9"/>
      <c r="R159" s="15" t="s">
        <v>1081</v>
      </c>
      <c r="S159" s="23" t="s">
        <v>1469</v>
      </c>
    </row>
    <row r="160" ht="40.5" spans="1:19">
      <c r="A160" s="9">
        <v>158</v>
      </c>
      <c r="B160" s="62" t="s">
        <v>81</v>
      </c>
      <c r="C160" s="53" t="s">
        <v>17</v>
      </c>
      <c r="D160" s="53" t="s">
        <v>1602</v>
      </c>
      <c r="E160" s="53"/>
      <c r="F160" s="54" t="s">
        <v>18</v>
      </c>
      <c r="G160" s="53" t="s">
        <v>1603</v>
      </c>
      <c r="H160" s="55" t="s">
        <v>1604</v>
      </c>
      <c r="I160" s="85">
        <v>2487.39</v>
      </c>
      <c r="J160" s="95">
        <v>43.61</v>
      </c>
      <c r="K160" s="85">
        <v>2531</v>
      </c>
      <c r="L160" s="58" t="s">
        <v>698</v>
      </c>
      <c r="M160" s="59"/>
      <c r="N160" s="9">
        <v>30</v>
      </c>
      <c r="O160" s="60"/>
      <c r="P160" s="9"/>
      <c r="Q160" s="9"/>
      <c r="R160" s="15" t="s">
        <v>1081</v>
      </c>
      <c r="S160" s="23" t="s">
        <v>1501</v>
      </c>
    </row>
    <row r="161" ht="40.5" hidden="1" spans="1:19">
      <c r="A161" s="9">
        <v>159</v>
      </c>
      <c r="B161" s="62" t="s">
        <v>1605</v>
      </c>
      <c r="C161" s="53" t="s">
        <v>17</v>
      </c>
      <c r="D161" s="86" t="s">
        <v>1602</v>
      </c>
      <c r="E161" s="62"/>
      <c r="F161" s="54" t="s">
        <v>18</v>
      </c>
      <c r="G161" s="68" t="s">
        <v>1606</v>
      </c>
      <c r="H161" s="63" t="s">
        <v>1607</v>
      </c>
      <c r="I161" s="85">
        <v>2439.42</v>
      </c>
      <c r="J161" s="85">
        <v>71.11935</v>
      </c>
      <c r="K161" s="85">
        <v>2510.53935</v>
      </c>
      <c r="L161" s="58" t="s">
        <v>723</v>
      </c>
      <c r="M161" s="87"/>
      <c r="N161" s="9">
        <v>0</v>
      </c>
      <c r="O161" s="60"/>
      <c r="P161" s="9"/>
      <c r="Q161" s="9"/>
      <c r="R161" s="15" t="s">
        <v>1081</v>
      </c>
    </row>
    <row r="162" ht="40.5" spans="1:19">
      <c r="A162" s="9">
        <v>160</v>
      </c>
      <c r="B162" s="62" t="s">
        <v>83</v>
      </c>
      <c r="C162" s="53" t="s">
        <v>17</v>
      </c>
      <c r="D162" s="62" t="s">
        <v>1608</v>
      </c>
      <c r="E162" s="62"/>
      <c r="F162" s="54" t="s">
        <v>18</v>
      </c>
      <c r="G162" s="53" t="s">
        <v>1609</v>
      </c>
      <c r="H162" s="63" t="s">
        <v>1610</v>
      </c>
      <c r="I162" s="92">
        <v>2149.29</v>
      </c>
      <c r="J162" s="96">
        <v>32.23935</v>
      </c>
      <c r="K162" s="85">
        <v>2181.52935</v>
      </c>
      <c r="L162" s="58" t="s">
        <v>698</v>
      </c>
      <c r="M162" s="59"/>
      <c r="N162" s="9">
        <v>20</v>
      </c>
      <c r="O162" s="60"/>
      <c r="P162" s="9"/>
      <c r="Q162" s="9"/>
      <c r="R162" s="15" t="s">
        <v>1081</v>
      </c>
      <c r="S162" s="23" t="s">
        <v>1501</v>
      </c>
    </row>
    <row r="163" ht="40.5" hidden="1" spans="1:19">
      <c r="A163" s="9">
        <v>161</v>
      </c>
      <c r="B163" s="62" t="s">
        <v>1611</v>
      </c>
      <c r="C163" s="53" t="s">
        <v>17</v>
      </c>
      <c r="D163" s="86" t="s">
        <v>1608</v>
      </c>
      <c r="E163" s="62"/>
      <c r="F163" s="54" t="s">
        <v>18</v>
      </c>
      <c r="G163" s="53" t="s">
        <v>1612</v>
      </c>
      <c r="H163" s="63" t="s">
        <v>1613</v>
      </c>
      <c r="I163" s="92">
        <v>2035.63</v>
      </c>
      <c r="J163" s="92">
        <v>30.53445</v>
      </c>
      <c r="K163" s="85">
        <v>2066.16445</v>
      </c>
      <c r="L163" s="58" t="s">
        <v>723</v>
      </c>
      <c r="M163" s="87"/>
      <c r="N163" s="9">
        <v>0</v>
      </c>
      <c r="O163" s="60"/>
      <c r="P163" s="9"/>
      <c r="Q163" s="9"/>
      <c r="R163" s="15" t="s">
        <v>1081</v>
      </c>
    </row>
    <row r="164" ht="40.5" spans="1:19">
      <c r="A164" s="9">
        <v>162</v>
      </c>
      <c r="B164" s="93" t="s">
        <v>1614</v>
      </c>
      <c r="C164" s="53" t="s">
        <v>17</v>
      </c>
      <c r="D164" s="53" t="s">
        <v>1615</v>
      </c>
      <c r="E164" s="53"/>
      <c r="F164" s="54" t="s">
        <v>18</v>
      </c>
      <c r="G164" s="53" t="s">
        <v>1616</v>
      </c>
      <c r="H164" s="55" t="s">
        <v>1617</v>
      </c>
      <c r="I164" s="85">
        <v>1391</v>
      </c>
      <c r="J164" s="85">
        <v>45</v>
      </c>
      <c r="K164" s="85">
        <v>1436</v>
      </c>
      <c r="L164" s="94" t="s">
        <v>1079</v>
      </c>
      <c r="M164" s="59" t="s">
        <v>1618</v>
      </c>
      <c r="N164" s="9">
        <v>75.632</v>
      </c>
      <c r="O164" s="60"/>
      <c r="P164" s="9"/>
      <c r="Q164" s="9"/>
      <c r="R164" s="15" t="s">
        <v>1081</v>
      </c>
      <c r="S164" s="23" t="s">
        <v>1501</v>
      </c>
    </row>
    <row r="165" ht="54" hidden="1" spans="1:19">
      <c r="A165" s="9">
        <v>163</v>
      </c>
      <c r="B165" s="62" t="s">
        <v>1619</v>
      </c>
      <c r="C165" s="53" t="s">
        <v>17</v>
      </c>
      <c r="D165" s="86" t="s">
        <v>1615</v>
      </c>
      <c r="E165" s="62"/>
      <c r="F165" s="54" t="s">
        <v>18</v>
      </c>
      <c r="G165" s="53" t="s">
        <v>1620</v>
      </c>
      <c r="H165" s="63" t="s">
        <v>1621</v>
      </c>
      <c r="I165" s="85">
        <v>1549</v>
      </c>
      <c r="J165" s="85">
        <v>44.8713</v>
      </c>
      <c r="K165" s="85">
        <v>1593.8713</v>
      </c>
      <c r="L165" s="58" t="s">
        <v>723</v>
      </c>
      <c r="M165" s="87"/>
      <c r="N165" s="9">
        <v>6</v>
      </c>
      <c r="O165" s="60"/>
      <c r="P165" s="9"/>
      <c r="Q165" s="9"/>
      <c r="R165" s="15" t="s">
        <v>1081</v>
      </c>
    </row>
    <row r="166" ht="40.5" hidden="1" spans="1:19">
      <c r="A166" s="9">
        <v>164</v>
      </c>
      <c r="B166" s="62" t="s">
        <v>1622</v>
      </c>
      <c r="C166" s="53" t="s">
        <v>17</v>
      </c>
      <c r="D166" s="62" t="s">
        <v>1623</v>
      </c>
      <c r="E166" s="62"/>
      <c r="F166" s="54" t="s">
        <v>18</v>
      </c>
      <c r="G166" s="53" t="s">
        <v>1624</v>
      </c>
      <c r="H166" s="63" t="s">
        <v>1625</v>
      </c>
      <c r="I166" s="85">
        <v>1316.58</v>
      </c>
      <c r="J166" s="95">
        <v>36.65</v>
      </c>
      <c r="K166" s="85">
        <v>1353.23</v>
      </c>
      <c r="L166" s="58" t="s">
        <v>723</v>
      </c>
      <c r="M166" s="59"/>
      <c r="N166" s="9">
        <v>11</v>
      </c>
      <c r="O166" s="60"/>
      <c r="P166" s="9"/>
      <c r="Q166" s="9"/>
      <c r="R166" s="15" t="s">
        <v>1081</v>
      </c>
    </row>
    <row r="167" ht="54" hidden="1" spans="1:19">
      <c r="A167" s="9">
        <v>165</v>
      </c>
      <c r="B167" s="62" t="s">
        <v>1626</v>
      </c>
      <c r="C167" s="53" t="s">
        <v>17</v>
      </c>
      <c r="D167" s="86" t="s">
        <v>1627</v>
      </c>
      <c r="E167" s="62"/>
      <c r="F167" s="54" t="s">
        <v>18</v>
      </c>
      <c r="G167" s="53" t="s">
        <v>1628</v>
      </c>
      <c r="H167" s="63" t="s">
        <v>1629</v>
      </c>
      <c r="I167" s="85">
        <v>1221.17</v>
      </c>
      <c r="J167" s="85">
        <v>43.31</v>
      </c>
      <c r="K167" s="85">
        <v>1264.48</v>
      </c>
      <c r="L167" s="58" t="s">
        <v>723</v>
      </c>
      <c r="M167" s="87"/>
      <c r="N167" s="9">
        <v>0</v>
      </c>
      <c r="O167" s="60"/>
      <c r="P167" s="9"/>
      <c r="Q167" s="9"/>
      <c r="R167" s="15" t="s">
        <v>1081</v>
      </c>
    </row>
    <row r="168" ht="54" spans="1:19">
      <c r="A168" s="9">
        <v>166</v>
      </c>
      <c r="B168" s="62" t="s">
        <v>85</v>
      </c>
      <c r="C168" s="53" t="s">
        <v>17</v>
      </c>
      <c r="D168" s="62" t="s">
        <v>1630</v>
      </c>
      <c r="E168" s="62"/>
      <c r="F168" s="54" t="s">
        <v>18</v>
      </c>
      <c r="G168" s="53" t="s">
        <v>1631</v>
      </c>
      <c r="H168" s="63" t="s">
        <v>1632</v>
      </c>
      <c r="I168" s="85">
        <v>7015</v>
      </c>
      <c r="J168" s="85">
        <v>201</v>
      </c>
      <c r="K168" s="85">
        <v>7216</v>
      </c>
      <c r="L168" s="58" t="s">
        <v>698</v>
      </c>
      <c r="M168" s="59"/>
      <c r="N168" s="9">
        <v>15</v>
      </c>
      <c r="O168" s="60"/>
      <c r="P168" s="9"/>
      <c r="Q168" s="9"/>
      <c r="R168" s="15" t="s">
        <v>1081</v>
      </c>
      <c r="S168" s="23" t="s">
        <v>1469</v>
      </c>
    </row>
    <row r="169" ht="40.5" spans="1:19">
      <c r="A169" s="9">
        <v>167</v>
      </c>
      <c r="B169" s="62" t="s">
        <v>87</v>
      </c>
      <c r="C169" s="53" t="s">
        <v>17</v>
      </c>
      <c r="D169" s="53" t="s">
        <v>1633</v>
      </c>
      <c r="E169" s="53"/>
      <c r="F169" s="54" t="s">
        <v>18</v>
      </c>
      <c r="G169" s="53" t="s">
        <v>1634</v>
      </c>
      <c r="H169" s="55" t="s">
        <v>1635</v>
      </c>
      <c r="I169" s="85">
        <v>6646.308</v>
      </c>
      <c r="J169" s="97">
        <v>161.25</v>
      </c>
      <c r="K169" s="85">
        <v>6807.558</v>
      </c>
      <c r="L169" s="58" t="s">
        <v>698</v>
      </c>
      <c r="M169" s="59"/>
      <c r="N169" s="9">
        <v>34</v>
      </c>
      <c r="O169" s="60"/>
      <c r="P169" s="9"/>
      <c r="Q169" s="9"/>
      <c r="R169" s="15" t="s">
        <v>1081</v>
      </c>
      <c r="S169" s="23" t="s">
        <v>1469</v>
      </c>
    </row>
    <row r="170" ht="27" spans="1:19">
      <c r="A170" s="9">
        <v>168</v>
      </c>
      <c r="B170" s="93" t="s">
        <v>90</v>
      </c>
      <c r="C170" s="53" t="s">
        <v>17</v>
      </c>
      <c r="D170" s="53" t="s">
        <v>1636</v>
      </c>
      <c r="E170" s="53"/>
      <c r="F170" s="54" t="s">
        <v>18</v>
      </c>
      <c r="G170" s="53" t="s">
        <v>1637</v>
      </c>
      <c r="H170" s="55" t="s">
        <v>91</v>
      </c>
      <c r="I170" s="85">
        <v>570</v>
      </c>
      <c r="J170" s="95">
        <v>30</v>
      </c>
      <c r="K170" s="85">
        <v>600</v>
      </c>
      <c r="L170" s="94" t="s">
        <v>1079</v>
      </c>
      <c r="M170" s="59"/>
      <c r="N170" s="9">
        <v>26</v>
      </c>
      <c r="O170" s="60">
        <v>489.6</v>
      </c>
      <c r="P170" s="64">
        <f>K170-O170</f>
        <v>110.4</v>
      </c>
      <c r="Q170" s="65">
        <f>(K170-O170)/K170</f>
        <v>0.184</v>
      </c>
      <c r="R170" s="62"/>
      <c r="S170" s="23" t="s">
        <v>1469</v>
      </c>
    </row>
    <row r="171" ht="40.5" hidden="1" spans="1:19">
      <c r="A171" s="9">
        <v>169</v>
      </c>
      <c r="B171" s="62" t="s">
        <v>1638</v>
      </c>
      <c r="C171" s="53" t="s">
        <v>17</v>
      </c>
      <c r="D171" s="86" t="s">
        <v>1636</v>
      </c>
      <c r="E171" s="62"/>
      <c r="F171" s="54" t="s">
        <v>18</v>
      </c>
      <c r="G171" s="53" t="s">
        <v>1639</v>
      </c>
      <c r="H171" s="63" t="s">
        <v>1640</v>
      </c>
      <c r="I171" s="85">
        <v>454.845</v>
      </c>
      <c r="J171" s="85">
        <v>25.35</v>
      </c>
      <c r="K171" s="85">
        <v>480.195</v>
      </c>
      <c r="L171" s="58" t="s">
        <v>723</v>
      </c>
      <c r="M171" s="87"/>
      <c r="N171" s="9">
        <v>1</v>
      </c>
      <c r="O171" s="60"/>
      <c r="P171" s="9"/>
      <c r="Q171" s="9"/>
      <c r="R171" s="15" t="s">
        <v>1081</v>
      </c>
    </row>
    <row r="172" ht="40.5" spans="1:19">
      <c r="A172" s="9">
        <v>170</v>
      </c>
      <c r="B172" s="93" t="s">
        <v>92</v>
      </c>
      <c r="C172" s="53" t="s">
        <v>17</v>
      </c>
      <c r="D172" s="53" t="s">
        <v>1641</v>
      </c>
      <c r="E172" s="53"/>
      <c r="F172" s="54" t="s">
        <v>18</v>
      </c>
      <c r="G172" s="54" t="s">
        <v>1642</v>
      </c>
      <c r="H172" s="55" t="s">
        <v>1643</v>
      </c>
      <c r="I172" s="85">
        <v>615</v>
      </c>
      <c r="J172" s="95">
        <v>23</v>
      </c>
      <c r="K172" s="85">
        <v>638</v>
      </c>
      <c r="L172" s="94" t="s">
        <v>1079</v>
      </c>
      <c r="M172" s="59"/>
      <c r="N172" s="9">
        <v>1134</v>
      </c>
      <c r="O172" s="60">
        <v>504.9</v>
      </c>
      <c r="P172" s="64">
        <f>K172-O172</f>
        <v>133.1</v>
      </c>
      <c r="Q172" s="65">
        <f>(K172-O172)/K172</f>
        <v>0.208620689655172</v>
      </c>
      <c r="R172" s="62"/>
      <c r="S172" s="23" t="s">
        <v>1501</v>
      </c>
    </row>
    <row r="173" ht="40.5" hidden="1" spans="1:19">
      <c r="A173" s="9">
        <v>171</v>
      </c>
      <c r="B173" s="62" t="s">
        <v>1644</v>
      </c>
      <c r="C173" s="53" t="s">
        <v>17</v>
      </c>
      <c r="D173" s="86" t="s">
        <v>1641</v>
      </c>
      <c r="E173" s="62"/>
      <c r="F173" s="54" t="s">
        <v>18</v>
      </c>
      <c r="G173" s="54" t="s">
        <v>1645</v>
      </c>
      <c r="H173" s="63" t="s">
        <v>1646</v>
      </c>
      <c r="I173" s="85">
        <v>562.862</v>
      </c>
      <c r="J173" s="85">
        <v>21.6</v>
      </c>
      <c r="K173" s="85">
        <v>584.462</v>
      </c>
      <c r="L173" s="58" t="s">
        <v>723</v>
      </c>
      <c r="M173" s="87"/>
      <c r="N173" s="9">
        <v>1</v>
      </c>
      <c r="O173" s="60"/>
      <c r="P173" s="9"/>
      <c r="Q173" s="9"/>
      <c r="R173" s="15" t="s">
        <v>1081</v>
      </c>
    </row>
    <row r="174" ht="27" spans="1:19">
      <c r="A174" s="9">
        <v>172</v>
      </c>
      <c r="B174" s="84" t="s">
        <v>95</v>
      </c>
      <c r="C174" s="66" t="s">
        <v>17</v>
      </c>
      <c r="D174" s="84" t="s">
        <v>1647</v>
      </c>
      <c r="E174" s="84"/>
      <c r="F174" s="66" t="s">
        <v>73</v>
      </c>
      <c r="G174" s="68" t="s">
        <v>1648</v>
      </c>
      <c r="H174" s="63" t="s">
        <v>96</v>
      </c>
      <c r="I174" s="85">
        <v>786.37</v>
      </c>
      <c r="J174" s="95">
        <v>13.63</v>
      </c>
      <c r="K174" s="85">
        <v>800</v>
      </c>
      <c r="L174" s="58" t="s">
        <v>698</v>
      </c>
      <c r="M174" s="59"/>
      <c r="N174" s="9">
        <v>10</v>
      </c>
      <c r="O174" s="60"/>
      <c r="P174" s="9"/>
      <c r="Q174" s="9"/>
      <c r="R174" s="15" t="s">
        <v>1081</v>
      </c>
      <c r="S174" s="23" t="s">
        <v>1501</v>
      </c>
    </row>
    <row r="175" ht="27" spans="1:19">
      <c r="A175" s="9">
        <v>173</v>
      </c>
      <c r="B175" s="84" t="s">
        <v>97</v>
      </c>
      <c r="C175" s="66" t="s">
        <v>17</v>
      </c>
      <c r="D175" s="84" t="s">
        <v>1649</v>
      </c>
      <c r="E175" s="84"/>
      <c r="F175" s="66" t="s">
        <v>18</v>
      </c>
      <c r="G175" s="68" t="s">
        <v>1650</v>
      </c>
      <c r="H175" s="63" t="s">
        <v>98</v>
      </c>
      <c r="I175" s="92">
        <v>409.80083</v>
      </c>
      <c r="J175" s="96">
        <v>6.14701245</v>
      </c>
      <c r="K175" s="85">
        <v>415.94784245</v>
      </c>
      <c r="L175" s="58" t="s">
        <v>698</v>
      </c>
      <c r="M175" s="59"/>
      <c r="N175" s="9">
        <v>18</v>
      </c>
      <c r="O175" s="60"/>
      <c r="P175" s="9"/>
      <c r="Q175" s="9"/>
      <c r="R175" s="15" t="s">
        <v>1081</v>
      </c>
      <c r="S175" s="23" t="s">
        <v>1501</v>
      </c>
    </row>
    <row r="176" ht="27" spans="1:19">
      <c r="A176" s="9">
        <v>174</v>
      </c>
      <c r="B176" s="84" t="s">
        <v>100</v>
      </c>
      <c r="C176" s="66" t="s">
        <v>17</v>
      </c>
      <c r="D176" s="53" t="s">
        <v>1651</v>
      </c>
      <c r="E176" s="66"/>
      <c r="F176" s="54" t="s">
        <v>18</v>
      </c>
      <c r="G176" s="68" t="s">
        <v>1652</v>
      </c>
      <c r="H176" s="55" t="s">
        <v>101</v>
      </c>
      <c r="I176" s="85">
        <v>485.28</v>
      </c>
      <c r="J176" s="95">
        <v>14.72</v>
      </c>
      <c r="K176" s="85">
        <v>500</v>
      </c>
      <c r="L176" s="58" t="s">
        <v>698</v>
      </c>
      <c r="M176" s="59"/>
      <c r="N176" s="9">
        <v>49</v>
      </c>
      <c r="O176" s="60">
        <v>357</v>
      </c>
      <c r="P176" s="64">
        <f>K176-O176</f>
        <v>143</v>
      </c>
      <c r="Q176" s="65">
        <f>(K176-O176)/K176</f>
        <v>0.286</v>
      </c>
      <c r="R176" s="62"/>
      <c r="S176" s="23" t="s">
        <v>1501</v>
      </c>
    </row>
    <row r="177" ht="27" hidden="1" spans="1:19">
      <c r="A177" s="9">
        <v>175</v>
      </c>
      <c r="B177" s="62" t="s">
        <v>1653</v>
      </c>
      <c r="C177" s="53" t="s">
        <v>17</v>
      </c>
      <c r="D177" s="84" t="s">
        <v>899</v>
      </c>
      <c r="E177" s="84"/>
      <c r="F177" s="66" t="s">
        <v>73</v>
      </c>
      <c r="G177" s="66" t="s">
        <v>1654</v>
      </c>
      <c r="H177" s="63" t="s">
        <v>1655</v>
      </c>
      <c r="I177" s="85">
        <v>862.98</v>
      </c>
      <c r="J177" s="95">
        <v>17.26</v>
      </c>
      <c r="K177" s="85">
        <v>880.24</v>
      </c>
      <c r="L177" s="58" t="s">
        <v>723</v>
      </c>
      <c r="M177" s="87"/>
      <c r="N177" s="9">
        <v>0</v>
      </c>
      <c r="O177" s="60"/>
      <c r="P177" s="9"/>
      <c r="Q177" s="9"/>
      <c r="R177" s="15" t="s">
        <v>1081</v>
      </c>
    </row>
    <row r="178" ht="27" spans="1:19">
      <c r="A178" s="9">
        <v>176</v>
      </c>
      <c r="B178" s="62" t="s">
        <v>102</v>
      </c>
      <c r="C178" s="53" t="s">
        <v>17</v>
      </c>
      <c r="D178" s="66" t="s">
        <v>1656</v>
      </c>
      <c r="E178" s="66"/>
      <c r="F178" s="66" t="s">
        <v>18</v>
      </c>
      <c r="G178" s="68" t="s">
        <v>1657</v>
      </c>
      <c r="H178" s="55" t="s">
        <v>103</v>
      </c>
      <c r="I178" s="85">
        <v>3135.38949537814</v>
      </c>
      <c r="J178" s="85">
        <v>91.92079017</v>
      </c>
      <c r="K178" s="85">
        <v>3227.31028554814</v>
      </c>
      <c r="L178" s="58" t="s">
        <v>698</v>
      </c>
      <c r="M178" s="59"/>
      <c r="N178" s="9">
        <v>27</v>
      </c>
      <c r="O178" s="60"/>
      <c r="P178" s="9"/>
      <c r="Q178" s="9"/>
      <c r="R178" s="15" t="s">
        <v>1081</v>
      </c>
      <c r="S178" s="23" t="s">
        <v>1501</v>
      </c>
    </row>
    <row r="179" ht="40.5" spans="1:19">
      <c r="A179" s="9">
        <v>177</v>
      </c>
      <c r="B179" s="84" t="s">
        <v>1658</v>
      </c>
      <c r="C179" s="66" t="s">
        <v>17</v>
      </c>
      <c r="D179" s="66" t="s">
        <v>1496</v>
      </c>
      <c r="E179" s="66" t="s">
        <v>1659</v>
      </c>
      <c r="F179" s="66" t="s">
        <v>18</v>
      </c>
      <c r="G179" s="68" t="s">
        <v>1660</v>
      </c>
      <c r="H179" s="63" t="s">
        <v>1661</v>
      </c>
      <c r="I179" s="85">
        <v>970</v>
      </c>
      <c r="J179" s="85">
        <v>30</v>
      </c>
      <c r="K179" s="85">
        <v>1000</v>
      </c>
      <c r="L179" s="58" t="s">
        <v>717</v>
      </c>
      <c r="M179" s="91" t="s">
        <v>1500</v>
      </c>
      <c r="N179" s="9">
        <v>106</v>
      </c>
      <c r="O179" s="60"/>
      <c r="P179" s="9"/>
      <c r="Q179" s="9"/>
      <c r="R179" s="15" t="s">
        <v>1081</v>
      </c>
      <c r="S179" s="23" t="s">
        <v>1501</v>
      </c>
    </row>
    <row r="180" ht="40.5" spans="1:19">
      <c r="A180" s="9">
        <v>178</v>
      </c>
      <c r="B180" s="84" t="s">
        <v>1662</v>
      </c>
      <c r="C180" s="66" t="s">
        <v>17</v>
      </c>
      <c r="D180" s="66" t="s">
        <v>1496</v>
      </c>
      <c r="E180" s="66" t="s">
        <v>1663</v>
      </c>
      <c r="F180" s="66" t="s">
        <v>18</v>
      </c>
      <c r="G180" s="68" t="s">
        <v>1664</v>
      </c>
      <c r="H180" s="63" t="s">
        <v>1665</v>
      </c>
      <c r="I180" s="85">
        <v>1212.5</v>
      </c>
      <c r="J180" s="85">
        <v>37.5</v>
      </c>
      <c r="K180" s="85">
        <v>1250</v>
      </c>
      <c r="L180" s="58" t="s">
        <v>717</v>
      </c>
      <c r="M180" s="91" t="s">
        <v>1500</v>
      </c>
      <c r="N180" s="9">
        <v>44.9118</v>
      </c>
      <c r="O180" s="60"/>
      <c r="P180" s="9"/>
      <c r="Q180" s="9"/>
      <c r="R180" s="15" t="s">
        <v>1081</v>
      </c>
      <c r="S180" s="23" t="s">
        <v>1501</v>
      </c>
    </row>
    <row r="181" ht="27" spans="1:19">
      <c r="A181" s="9">
        <v>179</v>
      </c>
      <c r="B181" s="62" t="s">
        <v>104</v>
      </c>
      <c r="C181" s="53" t="s">
        <v>17</v>
      </c>
      <c r="D181" s="66" t="s">
        <v>1666</v>
      </c>
      <c r="E181" s="66"/>
      <c r="F181" s="54" t="s">
        <v>55</v>
      </c>
      <c r="G181" s="68" t="s">
        <v>1667</v>
      </c>
      <c r="H181" s="55" t="s">
        <v>105</v>
      </c>
      <c r="I181" s="85">
        <v>570</v>
      </c>
      <c r="J181" s="95">
        <v>30</v>
      </c>
      <c r="K181" s="85">
        <v>600</v>
      </c>
      <c r="L181" s="58" t="s">
        <v>698</v>
      </c>
      <c r="M181" s="59"/>
      <c r="N181" s="9">
        <v>33</v>
      </c>
      <c r="O181" s="60">
        <v>599.76</v>
      </c>
      <c r="P181" s="64">
        <f t="shared" ref="P181:P185" si="22">K181-O181</f>
        <v>0.240000000000009</v>
      </c>
      <c r="Q181" s="65">
        <f t="shared" ref="Q181:Q185" si="23">(K181-O181)/K181</f>
        <v>0.000400000000000015</v>
      </c>
      <c r="R181" s="62"/>
      <c r="S181" s="23" t="s">
        <v>1501</v>
      </c>
    </row>
    <row r="182" ht="40.5" hidden="1" spans="1:19">
      <c r="A182" s="9">
        <v>180</v>
      </c>
      <c r="B182" s="62" t="s">
        <v>1668</v>
      </c>
      <c r="C182" s="53" t="s">
        <v>17</v>
      </c>
      <c r="D182" s="62" t="s">
        <v>1669</v>
      </c>
      <c r="E182" s="62" t="s">
        <v>1525</v>
      </c>
      <c r="F182" s="54" t="s">
        <v>18</v>
      </c>
      <c r="G182" s="54" t="s">
        <v>1670</v>
      </c>
      <c r="H182" s="63" t="s">
        <v>1671</v>
      </c>
      <c r="I182" s="85">
        <v>586.935</v>
      </c>
      <c r="J182" s="85">
        <v>13.065</v>
      </c>
      <c r="K182" s="85">
        <v>600</v>
      </c>
      <c r="L182" s="58" t="s">
        <v>723</v>
      </c>
      <c r="M182" s="87" t="s">
        <v>1672</v>
      </c>
      <c r="N182" s="9">
        <v>1</v>
      </c>
      <c r="O182" s="60">
        <v>694.62</v>
      </c>
      <c r="P182" s="64">
        <f t="shared" si="22"/>
        <v>-94.62</v>
      </c>
      <c r="Q182" s="65">
        <f t="shared" si="23"/>
        <v>-0.1577</v>
      </c>
      <c r="R182" s="62"/>
    </row>
    <row r="183" ht="40.5" hidden="1" spans="1:19">
      <c r="A183" s="9">
        <v>181</v>
      </c>
      <c r="B183" s="62" t="s">
        <v>1673</v>
      </c>
      <c r="C183" s="53" t="s">
        <v>17</v>
      </c>
      <c r="D183" s="62" t="s">
        <v>1669</v>
      </c>
      <c r="E183" s="62" t="s">
        <v>1530</v>
      </c>
      <c r="F183" s="54" t="s">
        <v>18</v>
      </c>
      <c r="G183" s="54" t="s">
        <v>1674</v>
      </c>
      <c r="H183" s="63" t="s">
        <v>1671</v>
      </c>
      <c r="I183" s="85">
        <v>586.935</v>
      </c>
      <c r="J183" s="85">
        <v>13.065</v>
      </c>
      <c r="K183" s="85">
        <v>600</v>
      </c>
      <c r="L183" s="58" t="s">
        <v>723</v>
      </c>
      <c r="M183" s="87"/>
      <c r="N183" s="9">
        <v>0</v>
      </c>
      <c r="O183" s="60">
        <v>501.84</v>
      </c>
      <c r="P183" s="64">
        <f t="shared" si="22"/>
        <v>98.16</v>
      </c>
      <c r="Q183" s="65">
        <f t="shared" si="23"/>
        <v>0.1636</v>
      </c>
      <c r="R183" s="62"/>
    </row>
    <row r="184" ht="27" spans="1:19">
      <c r="A184" s="9">
        <v>182</v>
      </c>
      <c r="B184" s="62" t="s">
        <v>107</v>
      </c>
      <c r="C184" s="53" t="s">
        <v>17</v>
      </c>
      <c r="D184" s="62" t="s">
        <v>1675</v>
      </c>
      <c r="E184" s="84"/>
      <c r="F184" s="54" t="s">
        <v>55</v>
      </c>
      <c r="G184" s="68" t="s">
        <v>1676</v>
      </c>
      <c r="H184" s="63" t="s">
        <v>108</v>
      </c>
      <c r="I184" s="85">
        <v>1484.22</v>
      </c>
      <c r="J184" s="85">
        <v>15.78</v>
      </c>
      <c r="K184" s="85">
        <v>1500</v>
      </c>
      <c r="L184" s="58" t="s">
        <v>698</v>
      </c>
      <c r="M184" s="59"/>
      <c r="N184" s="9">
        <v>12</v>
      </c>
      <c r="O184" s="60">
        <v>408</v>
      </c>
      <c r="P184" s="64">
        <f t="shared" si="22"/>
        <v>1092</v>
      </c>
      <c r="Q184" s="65">
        <f t="shared" si="23"/>
        <v>0.728</v>
      </c>
      <c r="R184" s="98" t="s">
        <v>1675</v>
      </c>
      <c r="S184" s="23" t="s">
        <v>1501</v>
      </c>
    </row>
    <row r="185" ht="27" spans="1:19">
      <c r="A185" s="9">
        <v>183</v>
      </c>
      <c r="B185" s="62" t="s">
        <v>109</v>
      </c>
      <c r="C185" s="53" t="s">
        <v>17</v>
      </c>
      <c r="D185" s="53" t="s">
        <v>1677</v>
      </c>
      <c r="E185" s="66"/>
      <c r="F185" s="54" t="s">
        <v>43</v>
      </c>
      <c r="G185" s="68" t="s">
        <v>1678</v>
      </c>
      <c r="H185" s="55" t="s">
        <v>110</v>
      </c>
      <c r="I185" s="85">
        <v>650</v>
      </c>
      <c r="J185" s="95">
        <v>13</v>
      </c>
      <c r="K185" s="85">
        <v>663</v>
      </c>
      <c r="L185" s="58" t="s">
        <v>698</v>
      </c>
      <c r="M185" s="59"/>
      <c r="N185" s="9">
        <v>32</v>
      </c>
      <c r="O185" s="60">
        <v>324.36</v>
      </c>
      <c r="P185" s="64">
        <f t="shared" si="22"/>
        <v>338.64</v>
      </c>
      <c r="Q185" s="65">
        <f t="shared" si="23"/>
        <v>0.510769230769231</v>
      </c>
      <c r="R185" s="62"/>
      <c r="S185" s="23" t="s">
        <v>1501</v>
      </c>
    </row>
    <row r="186" ht="27" hidden="1" spans="1:19">
      <c r="A186" s="9">
        <v>184</v>
      </c>
      <c r="B186" s="62" t="s">
        <v>1679</v>
      </c>
      <c r="C186" s="53" t="s">
        <v>17</v>
      </c>
      <c r="D186" s="84" t="s">
        <v>1680</v>
      </c>
      <c r="E186" s="84"/>
      <c r="F186" s="54" t="s">
        <v>18</v>
      </c>
      <c r="G186" s="68" t="s">
        <v>1681</v>
      </c>
      <c r="H186" s="63" t="s">
        <v>1682</v>
      </c>
      <c r="I186" s="85">
        <v>485.5</v>
      </c>
      <c r="J186" s="85">
        <v>14.5</v>
      </c>
      <c r="K186" s="85">
        <v>500</v>
      </c>
      <c r="L186" s="58" t="s">
        <v>723</v>
      </c>
      <c r="M186" s="87"/>
      <c r="N186" s="9">
        <v>0</v>
      </c>
      <c r="O186" s="60"/>
      <c r="P186" s="9"/>
      <c r="Q186" s="9"/>
      <c r="R186" s="15" t="s">
        <v>1081</v>
      </c>
    </row>
    <row r="187" ht="27" spans="1:19">
      <c r="A187" s="9">
        <v>185</v>
      </c>
      <c r="B187" s="62" t="s">
        <v>111</v>
      </c>
      <c r="C187" s="53" t="s">
        <v>17</v>
      </c>
      <c r="D187" s="53" t="s">
        <v>1683</v>
      </c>
      <c r="E187" s="53"/>
      <c r="F187" s="54" t="s">
        <v>18</v>
      </c>
      <c r="G187" s="53" t="s">
        <v>1684</v>
      </c>
      <c r="H187" s="55" t="s">
        <v>112</v>
      </c>
      <c r="I187" s="85">
        <v>506</v>
      </c>
      <c r="J187" s="85">
        <v>28</v>
      </c>
      <c r="K187" s="85">
        <v>534</v>
      </c>
      <c r="L187" s="58" t="s">
        <v>698</v>
      </c>
      <c r="M187" s="59"/>
      <c r="N187" s="9">
        <v>251</v>
      </c>
      <c r="O187" s="60"/>
      <c r="P187" s="9"/>
      <c r="Q187" s="9"/>
      <c r="R187" s="15" t="s">
        <v>1081</v>
      </c>
      <c r="S187" s="23" t="s">
        <v>1469</v>
      </c>
    </row>
    <row r="188" ht="40.5" spans="1:19">
      <c r="A188" s="9">
        <v>186</v>
      </c>
      <c r="B188" s="62" t="s">
        <v>113</v>
      </c>
      <c r="C188" s="53" t="s">
        <v>17</v>
      </c>
      <c r="D188" s="53" t="s">
        <v>1685</v>
      </c>
      <c r="E188" s="53"/>
      <c r="F188" s="54" t="s">
        <v>43</v>
      </c>
      <c r="G188" s="53" t="s">
        <v>1686</v>
      </c>
      <c r="H188" s="55" t="s">
        <v>114</v>
      </c>
      <c r="I188" s="85">
        <v>2164</v>
      </c>
      <c r="J188" s="85">
        <v>58</v>
      </c>
      <c r="K188" s="85">
        <v>2222</v>
      </c>
      <c r="L188" s="58" t="s">
        <v>698</v>
      </c>
      <c r="M188" s="59"/>
      <c r="N188" s="9">
        <v>198</v>
      </c>
      <c r="O188" s="60">
        <v>1610.58</v>
      </c>
      <c r="P188" s="64">
        <f>K188-O188</f>
        <v>611.42</v>
      </c>
      <c r="Q188" s="65">
        <f>(K188-O188)/K188</f>
        <v>0.275166516651665</v>
      </c>
      <c r="R188" s="98" t="s">
        <v>1687</v>
      </c>
      <c r="S188" s="23" t="s">
        <v>1469</v>
      </c>
    </row>
    <row r="189" ht="40.5" hidden="1" spans="1:19">
      <c r="A189" s="9">
        <v>187</v>
      </c>
      <c r="B189" s="62" t="s">
        <v>1688</v>
      </c>
      <c r="C189" s="53" t="s">
        <v>17</v>
      </c>
      <c r="D189" s="62" t="s">
        <v>1685</v>
      </c>
      <c r="E189" s="62"/>
      <c r="F189" s="54" t="s">
        <v>43</v>
      </c>
      <c r="G189" s="53" t="s">
        <v>1689</v>
      </c>
      <c r="H189" s="63" t="s">
        <v>114</v>
      </c>
      <c r="I189" s="85">
        <v>1964</v>
      </c>
      <c r="J189" s="85">
        <v>56.29</v>
      </c>
      <c r="K189" s="85">
        <v>2020.29</v>
      </c>
      <c r="L189" s="58" t="s">
        <v>723</v>
      </c>
      <c r="M189" s="87"/>
      <c r="N189" s="9">
        <v>0</v>
      </c>
      <c r="O189" s="60"/>
      <c r="P189" s="9"/>
      <c r="Q189" s="9"/>
      <c r="R189" s="15" t="s">
        <v>1081</v>
      </c>
    </row>
    <row r="190" ht="40.5" spans="1:19">
      <c r="A190" s="9">
        <v>188</v>
      </c>
      <c r="B190" s="93" t="s">
        <v>1690</v>
      </c>
      <c r="C190" s="53" t="s">
        <v>17</v>
      </c>
      <c r="D190" s="53" t="s">
        <v>396</v>
      </c>
      <c r="E190" s="53" t="s">
        <v>397</v>
      </c>
      <c r="F190" s="54" t="s">
        <v>390</v>
      </c>
      <c r="G190" s="53" t="s">
        <v>1691</v>
      </c>
      <c r="H190" s="55" t="s">
        <v>1692</v>
      </c>
      <c r="I190" s="85">
        <v>848</v>
      </c>
      <c r="J190" s="85">
        <v>26</v>
      </c>
      <c r="K190" s="85">
        <v>874</v>
      </c>
      <c r="L190" s="94" t="s">
        <v>1079</v>
      </c>
      <c r="M190" s="59" t="s">
        <v>1693</v>
      </c>
      <c r="N190" s="9">
        <v>226.701</v>
      </c>
      <c r="O190" s="60"/>
      <c r="P190" s="9"/>
      <c r="Q190" s="9"/>
      <c r="R190" s="15" t="s">
        <v>1081</v>
      </c>
      <c r="S190" s="23" t="s">
        <v>1501</v>
      </c>
    </row>
    <row r="191" ht="27" spans="1:19">
      <c r="A191" s="9">
        <v>189</v>
      </c>
      <c r="B191" s="84" t="s">
        <v>115</v>
      </c>
      <c r="C191" s="66" t="s">
        <v>17</v>
      </c>
      <c r="D191" s="53" t="s">
        <v>493</v>
      </c>
      <c r="E191" s="66"/>
      <c r="F191" s="54" t="s">
        <v>18</v>
      </c>
      <c r="G191" s="68" t="s">
        <v>1694</v>
      </c>
      <c r="H191" s="55" t="s">
        <v>1695</v>
      </c>
      <c r="I191" s="85">
        <v>334</v>
      </c>
      <c r="J191" s="85">
        <v>6.68</v>
      </c>
      <c r="K191" s="85">
        <v>340.68</v>
      </c>
      <c r="L191" s="58" t="s">
        <v>698</v>
      </c>
      <c r="M191" s="59"/>
      <c r="N191" s="9">
        <v>106</v>
      </c>
      <c r="O191" s="60"/>
      <c r="P191" s="9"/>
      <c r="Q191" s="9"/>
      <c r="R191" s="15" t="s">
        <v>1081</v>
      </c>
      <c r="S191" s="23" t="s">
        <v>1501</v>
      </c>
    </row>
    <row r="192" ht="40.5" spans="1:19">
      <c r="A192" s="9">
        <v>190</v>
      </c>
      <c r="B192" s="62" t="s">
        <v>117</v>
      </c>
      <c r="C192" s="53" t="s">
        <v>17</v>
      </c>
      <c r="D192" s="53" t="s">
        <v>1696</v>
      </c>
      <c r="E192" s="53" t="s">
        <v>1697</v>
      </c>
      <c r="F192" s="54" t="s">
        <v>37</v>
      </c>
      <c r="G192" s="68" t="s">
        <v>1698</v>
      </c>
      <c r="H192" s="55" t="s">
        <v>1514</v>
      </c>
      <c r="I192" s="85">
        <v>412.75</v>
      </c>
      <c r="J192" s="85">
        <v>6.1</v>
      </c>
      <c r="K192" s="85">
        <v>418.85</v>
      </c>
      <c r="L192" s="58" t="s">
        <v>698</v>
      </c>
      <c r="M192" s="59"/>
      <c r="N192" s="9">
        <v>456</v>
      </c>
      <c r="O192" s="60"/>
      <c r="P192" s="9"/>
      <c r="Q192" s="9"/>
      <c r="R192" s="15" t="s">
        <v>1081</v>
      </c>
      <c r="S192" s="23" t="s">
        <v>1501</v>
      </c>
    </row>
    <row r="193" ht="27" spans="1:19">
      <c r="A193" s="9">
        <v>191</v>
      </c>
      <c r="B193" s="62" t="s">
        <v>1699</v>
      </c>
      <c r="C193" s="53" t="s">
        <v>17</v>
      </c>
      <c r="D193" s="53" t="s">
        <v>1000</v>
      </c>
      <c r="E193" s="54"/>
      <c r="F193" s="54" t="s">
        <v>18</v>
      </c>
      <c r="G193" s="53" t="s">
        <v>1700</v>
      </c>
      <c r="H193" s="55" t="s">
        <v>1000</v>
      </c>
      <c r="I193" s="95" t="s">
        <v>1002</v>
      </c>
      <c r="J193" s="95" t="s">
        <v>1002</v>
      </c>
      <c r="K193" s="85">
        <v>0</v>
      </c>
      <c r="L193" s="58" t="s">
        <v>698</v>
      </c>
      <c r="M193" s="59"/>
      <c r="N193" s="9">
        <v>184.9556</v>
      </c>
      <c r="O193" s="60"/>
      <c r="P193" s="9"/>
      <c r="Q193" s="9"/>
      <c r="R193" s="15" t="s">
        <v>1081</v>
      </c>
      <c r="S193" s="23" t="s">
        <v>1501</v>
      </c>
    </row>
    <row r="194" ht="40.5" spans="1:19">
      <c r="A194" s="9">
        <v>192</v>
      </c>
      <c r="B194" s="62" t="s">
        <v>1701</v>
      </c>
      <c r="C194" s="53" t="s">
        <v>17</v>
      </c>
      <c r="D194" s="62" t="s">
        <v>1701</v>
      </c>
      <c r="E194" s="99"/>
      <c r="F194" s="54" t="s">
        <v>18</v>
      </c>
      <c r="G194" s="53" t="s">
        <v>1702</v>
      </c>
      <c r="H194" s="63" t="s">
        <v>1007</v>
      </c>
      <c r="I194" s="85">
        <v>2935.960591133</v>
      </c>
      <c r="J194" s="95">
        <v>44.0394088669951</v>
      </c>
      <c r="K194" s="85">
        <v>2980</v>
      </c>
      <c r="L194" s="58" t="s">
        <v>698</v>
      </c>
      <c r="M194" s="59"/>
      <c r="N194" s="9">
        <v>12</v>
      </c>
      <c r="O194" s="60"/>
      <c r="P194" s="9"/>
      <c r="Q194" s="9"/>
      <c r="R194" s="15" t="s">
        <v>1081</v>
      </c>
      <c r="S194" s="23" t="s">
        <v>1501</v>
      </c>
    </row>
    <row r="195" ht="40.5" spans="1:19">
      <c r="A195" s="9">
        <v>193</v>
      </c>
      <c r="B195" s="62" t="s">
        <v>1703</v>
      </c>
      <c r="C195" s="53" t="s">
        <v>17</v>
      </c>
      <c r="D195" s="53" t="s">
        <v>1703</v>
      </c>
      <c r="E195" s="54"/>
      <c r="F195" s="54" t="s">
        <v>18</v>
      </c>
      <c r="G195" s="53" t="s">
        <v>1704</v>
      </c>
      <c r="H195" s="55" t="s">
        <v>1010</v>
      </c>
      <c r="I195" s="95">
        <v>2256.15763546798</v>
      </c>
      <c r="J195" s="95">
        <v>33.8423645320197</v>
      </c>
      <c r="K195" s="85">
        <v>2290</v>
      </c>
      <c r="L195" s="58" t="s">
        <v>698</v>
      </c>
      <c r="M195" s="59"/>
      <c r="N195" s="9">
        <v>391.0296</v>
      </c>
      <c r="O195" s="60"/>
      <c r="P195" s="9"/>
      <c r="Q195" s="9"/>
      <c r="R195" s="15" t="s">
        <v>1081</v>
      </c>
      <c r="S195" s="23" t="s">
        <v>1501</v>
      </c>
    </row>
    <row r="196" ht="40.5" spans="1:19">
      <c r="A196" s="9">
        <v>194</v>
      </c>
      <c r="B196" s="62" t="s">
        <v>1705</v>
      </c>
      <c r="C196" s="53" t="s">
        <v>17</v>
      </c>
      <c r="D196" s="53" t="s">
        <v>1705</v>
      </c>
      <c r="E196" s="54"/>
      <c r="F196" s="54" t="s">
        <v>18</v>
      </c>
      <c r="G196" s="53" t="s">
        <v>1706</v>
      </c>
      <c r="H196" s="55" t="s">
        <v>1012</v>
      </c>
      <c r="I196" s="95">
        <v>1576.35467980296</v>
      </c>
      <c r="J196" s="95">
        <v>23.6453201970443</v>
      </c>
      <c r="K196" s="85">
        <v>1600</v>
      </c>
      <c r="L196" s="58" t="s">
        <v>698</v>
      </c>
      <c r="M196" s="59"/>
      <c r="N196" s="9">
        <v>1255.1036</v>
      </c>
      <c r="O196" s="60"/>
      <c r="P196" s="9"/>
      <c r="Q196" s="9"/>
      <c r="R196" s="15" t="s">
        <v>1081</v>
      </c>
      <c r="S196" s="23" t="s">
        <v>1501</v>
      </c>
    </row>
    <row r="197" ht="40.5" spans="1:19">
      <c r="A197" s="9">
        <v>195</v>
      </c>
      <c r="B197" s="62" t="s">
        <v>1707</v>
      </c>
      <c r="C197" s="53" t="s">
        <v>17</v>
      </c>
      <c r="D197" s="53" t="s">
        <v>1707</v>
      </c>
      <c r="E197" s="54"/>
      <c r="F197" s="54" t="s">
        <v>18</v>
      </c>
      <c r="G197" s="53" t="s">
        <v>1708</v>
      </c>
      <c r="H197" s="55" t="s">
        <v>1014</v>
      </c>
      <c r="I197" s="95">
        <v>896.551724137931</v>
      </c>
      <c r="J197" s="95">
        <v>13.448275862069</v>
      </c>
      <c r="K197" s="85">
        <v>910</v>
      </c>
      <c r="L197" s="58" t="s">
        <v>698</v>
      </c>
      <c r="M197" s="59"/>
      <c r="N197" s="9">
        <v>893.37</v>
      </c>
      <c r="O197" s="60"/>
      <c r="P197" s="9"/>
      <c r="Q197" s="9"/>
      <c r="R197" s="15" t="s">
        <v>1081</v>
      </c>
      <c r="S197" s="23" t="s">
        <v>1501</v>
      </c>
    </row>
    <row r="198" ht="40.5" hidden="1" spans="1:19">
      <c r="A198" s="9">
        <v>196</v>
      </c>
      <c r="B198" s="62" t="s">
        <v>1019</v>
      </c>
      <c r="C198" s="53" t="s">
        <v>166</v>
      </c>
      <c r="D198" s="83" t="s">
        <v>1020</v>
      </c>
      <c r="E198" s="83" t="s">
        <v>1021</v>
      </c>
      <c r="F198" s="83" t="s">
        <v>192</v>
      </c>
      <c r="G198" s="97" t="s">
        <v>1022</v>
      </c>
      <c r="H198" s="55" t="s">
        <v>1709</v>
      </c>
      <c r="I198" s="95"/>
      <c r="J198" s="95"/>
      <c r="K198" s="85">
        <v>9858.9</v>
      </c>
      <c r="L198" s="58" t="s">
        <v>698</v>
      </c>
      <c r="M198" s="59"/>
      <c r="N198" s="9">
        <v>58</v>
      </c>
      <c r="O198" s="78"/>
      <c r="P198" s="9"/>
      <c r="Q198" s="9"/>
      <c r="R198" s="15" t="s">
        <v>1081</v>
      </c>
    </row>
    <row r="199" ht="40.5" hidden="1" spans="1:19">
      <c r="A199" s="9">
        <v>197</v>
      </c>
      <c r="B199" s="62" t="s">
        <v>1025</v>
      </c>
      <c r="C199" s="53" t="s">
        <v>166</v>
      </c>
      <c r="D199" s="55" t="s">
        <v>1026</v>
      </c>
      <c r="E199" s="55" t="s">
        <v>1027</v>
      </c>
      <c r="F199" s="83" t="s">
        <v>192</v>
      </c>
      <c r="G199" s="97" t="s">
        <v>1028</v>
      </c>
      <c r="H199" s="63" t="s">
        <v>1710</v>
      </c>
      <c r="I199" s="95"/>
      <c r="J199" s="95"/>
      <c r="K199" s="85">
        <v>16400</v>
      </c>
      <c r="L199" s="58" t="s">
        <v>698</v>
      </c>
      <c r="M199" s="59"/>
      <c r="N199" s="9">
        <v>7</v>
      </c>
      <c r="O199" s="78"/>
      <c r="P199" s="9"/>
      <c r="Q199" s="9"/>
      <c r="R199" s="15" t="s">
        <v>1081</v>
      </c>
    </row>
    <row r="200" ht="40.5" hidden="1" spans="1:19">
      <c r="A200" s="9">
        <v>198</v>
      </c>
      <c r="B200" s="62" t="s">
        <v>1030</v>
      </c>
      <c r="C200" s="53" t="s">
        <v>166</v>
      </c>
      <c r="D200" s="83" t="s">
        <v>1031</v>
      </c>
      <c r="E200" s="83" t="s">
        <v>1032</v>
      </c>
      <c r="F200" s="83" t="s">
        <v>192</v>
      </c>
      <c r="G200" s="97" t="s">
        <v>1033</v>
      </c>
      <c r="H200" s="55" t="s">
        <v>1711</v>
      </c>
      <c r="I200" s="95"/>
      <c r="J200" s="95"/>
      <c r="K200" s="85">
        <v>11216.07</v>
      </c>
      <c r="L200" s="58" t="s">
        <v>698</v>
      </c>
      <c r="M200" s="59"/>
      <c r="N200" s="9">
        <v>98</v>
      </c>
      <c r="O200" s="78"/>
      <c r="P200" s="9"/>
      <c r="Q200" s="9"/>
      <c r="R200" s="15" t="s">
        <v>1081</v>
      </c>
    </row>
    <row r="201" ht="40.5" hidden="1" spans="1:19">
      <c r="A201" s="9">
        <v>199</v>
      </c>
      <c r="B201" s="62" t="s">
        <v>1035</v>
      </c>
      <c r="C201" s="53" t="s">
        <v>166</v>
      </c>
      <c r="D201" s="83" t="s">
        <v>1036</v>
      </c>
      <c r="E201" s="83" t="s">
        <v>1037</v>
      </c>
      <c r="F201" s="83" t="s">
        <v>192</v>
      </c>
      <c r="G201" s="97" t="s">
        <v>1038</v>
      </c>
      <c r="H201" s="55" t="s">
        <v>1712</v>
      </c>
      <c r="I201" s="95"/>
      <c r="J201" s="95"/>
      <c r="K201" s="85">
        <v>19114.33</v>
      </c>
      <c r="L201" s="58" t="s">
        <v>698</v>
      </c>
      <c r="M201" s="59"/>
      <c r="N201" s="9">
        <v>93</v>
      </c>
      <c r="O201" s="78"/>
      <c r="P201" s="9"/>
      <c r="Q201" s="9"/>
      <c r="R201" s="15" t="s">
        <v>1081</v>
      </c>
    </row>
    <row r="202" ht="40.5" hidden="1" spans="1:19">
      <c r="A202" s="9">
        <v>200</v>
      </c>
      <c r="B202" s="62" t="s">
        <v>1040</v>
      </c>
      <c r="C202" s="53" t="s">
        <v>166</v>
      </c>
      <c r="D202" s="83" t="s">
        <v>1041</v>
      </c>
      <c r="E202" s="83" t="s">
        <v>1042</v>
      </c>
      <c r="F202" s="83" t="s">
        <v>192</v>
      </c>
      <c r="G202" s="318" t="s">
        <v>1043</v>
      </c>
      <c r="H202" s="55" t="s">
        <v>1713</v>
      </c>
      <c r="I202" s="95"/>
      <c r="J202" s="95"/>
      <c r="K202" s="85">
        <v>9358.9</v>
      </c>
      <c r="L202" s="58" t="s">
        <v>698</v>
      </c>
      <c r="M202" s="59"/>
      <c r="N202" s="9">
        <v>145</v>
      </c>
      <c r="O202" s="78"/>
      <c r="P202" s="9"/>
      <c r="Q202" s="9"/>
      <c r="R202" s="15" t="s">
        <v>1081</v>
      </c>
    </row>
    <row r="203" ht="40.5" hidden="1" spans="1:19">
      <c r="A203" s="9">
        <v>201</v>
      </c>
      <c r="B203" s="62" t="s">
        <v>1045</v>
      </c>
      <c r="C203" s="53" t="s">
        <v>166</v>
      </c>
      <c r="D203" s="83" t="s">
        <v>1046</v>
      </c>
      <c r="E203" s="83" t="s">
        <v>1047</v>
      </c>
      <c r="F203" s="83" t="s">
        <v>192</v>
      </c>
      <c r="G203" s="318" t="s">
        <v>1048</v>
      </c>
      <c r="H203" s="55" t="s">
        <v>1714</v>
      </c>
      <c r="I203" s="95"/>
      <c r="J203" s="95"/>
      <c r="K203" s="85">
        <v>10716.07</v>
      </c>
      <c r="L203" s="58" t="s">
        <v>698</v>
      </c>
      <c r="M203" s="59"/>
      <c r="N203" s="9">
        <v>27</v>
      </c>
      <c r="O203" s="78"/>
      <c r="P203" s="9"/>
      <c r="Q203" s="9"/>
      <c r="R203" s="15" t="s">
        <v>1081</v>
      </c>
    </row>
    <row r="204" ht="54" hidden="1" spans="1:19">
      <c r="A204" s="9">
        <v>202</v>
      </c>
      <c r="B204" s="62" t="s">
        <v>1050</v>
      </c>
      <c r="C204" s="53" t="s">
        <v>166</v>
      </c>
      <c r="D204" s="55" t="s">
        <v>1051</v>
      </c>
      <c r="E204" s="55" t="s">
        <v>1052</v>
      </c>
      <c r="F204" s="83" t="s">
        <v>192</v>
      </c>
      <c r="G204" s="318" t="s">
        <v>1053</v>
      </c>
      <c r="H204" s="63" t="s">
        <v>1715</v>
      </c>
      <c r="I204" s="95"/>
      <c r="J204" s="95"/>
      <c r="K204" s="85">
        <v>15900</v>
      </c>
      <c r="L204" s="58" t="s">
        <v>698</v>
      </c>
      <c r="M204" s="59"/>
      <c r="N204" s="9">
        <v>1</v>
      </c>
      <c r="O204" s="78"/>
      <c r="P204" s="9"/>
      <c r="Q204" s="9"/>
      <c r="R204" s="15" t="s">
        <v>1081</v>
      </c>
    </row>
    <row r="205" ht="54" hidden="1" spans="1:19">
      <c r="A205" s="9">
        <v>203</v>
      </c>
      <c r="B205" s="62" t="s">
        <v>1055</v>
      </c>
      <c r="C205" s="53" t="s">
        <v>166</v>
      </c>
      <c r="D205" s="55" t="s">
        <v>1056</v>
      </c>
      <c r="E205" s="55" t="s">
        <v>1057</v>
      </c>
      <c r="F205" s="83" t="s">
        <v>192</v>
      </c>
      <c r="G205" s="318" t="s">
        <v>1058</v>
      </c>
      <c r="H205" s="63" t="s">
        <v>1716</v>
      </c>
      <c r="I205" s="95"/>
      <c r="J205" s="95"/>
      <c r="K205" s="85">
        <v>18614.33</v>
      </c>
      <c r="L205" s="58" t="s">
        <v>698</v>
      </c>
      <c r="M205" s="59"/>
      <c r="N205" s="9">
        <v>12</v>
      </c>
      <c r="O205" s="78"/>
      <c r="P205" s="9"/>
      <c r="Q205" s="9"/>
      <c r="R205" s="15" t="s">
        <v>1081</v>
      </c>
    </row>
    <row r="206" ht="40.5" hidden="1" spans="1:19">
      <c r="A206" s="9">
        <v>204</v>
      </c>
      <c r="B206" s="62" t="s">
        <v>1060</v>
      </c>
      <c r="C206" s="53" t="s">
        <v>166</v>
      </c>
      <c r="D206" s="83" t="s">
        <v>1061</v>
      </c>
      <c r="E206" s="83" t="s">
        <v>1062</v>
      </c>
      <c r="F206" s="83" t="s">
        <v>192</v>
      </c>
      <c r="G206" s="318" t="s">
        <v>1063</v>
      </c>
      <c r="H206" s="55" t="s">
        <v>1717</v>
      </c>
      <c r="I206" s="95"/>
      <c r="J206" s="95"/>
      <c r="K206" s="85">
        <v>9058.9</v>
      </c>
      <c r="L206" s="58" t="s">
        <v>698</v>
      </c>
      <c r="M206" s="59"/>
      <c r="N206" s="9">
        <v>21</v>
      </c>
      <c r="O206" s="78"/>
      <c r="P206" s="9"/>
      <c r="Q206" s="9"/>
      <c r="R206" s="15" t="s">
        <v>1081</v>
      </c>
    </row>
  </sheetData>
  <autoFilter xmlns:etc="http://www.wps.cn/officeDocument/2017/etCustomData" ref="A2:S206" etc:filterBottomFollowUsedRange="0">
    <filterColumn colId="2">
      <customFilters>
        <customFilter operator="equal" val="动力配套"/>
      </customFilters>
    </filterColumn>
    <filterColumn colId="11">
      <filters>
        <filter val="建议保留模块"/>
        <filter val="建议提高单价"/>
        <filter val="建议调整模块"/>
      </filters>
    </filterColumn>
    <extLst/>
  </autoFilter>
  <mergeCells count="14">
    <mergeCell ref="O1:R1"/>
    <mergeCell ref="A1:A2"/>
    <mergeCell ref="B1:B2"/>
    <mergeCell ref="C1:C2"/>
    <mergeCell ref="D1:D2"/>
    <mergeCell ref="E1:E2"/>
    <mergeCell ref="F1:F2"/>
    <mergeCell ref="G1:G2"/>
    <mergeCell ref="H1:H2"/>
    <mergeCell ref="I1:I2"/>
    <mergeCell ref="J1:J2"/>
    <mergeCell ref="K1:K2"/>
    <mergeCell ref="L1:L2"/>
    <mergeCell ref="M1:M2"/>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O19" workbookViewId="0">
      <selection activeCell="C29" sqref="C29:V29"/>
    </sheetView>
  </sheetViews>
  <sheetFormatPr defaultColWidth="9" defaultRowHeight="13.5"/>
  <cols>
    <col min="2" max="2" width="11.8833333333333" customWidth="1"/>
    <col min="4" max="4" width="47" customWidth="1"/>
    <col min="5" max="5" width="22.5" customWidth="1"/>
    <col min="7" max="7" width="14.5" customWidth="1"/>
    <col min="8" max="8" width="72.8833333333333" customWidth="1"/>
    <col min="9" max="9" width="19.1333333333333" customWidth="1"/>
    <col min="10" max="10" width="14.8833333333333" customWidth="1"/>
    <col min="12" max="12" width="20.8833333333333" customWidth="1"/>
  </cols>
  <sheetData>
    <row r="1" s="1" customFormat="1" ht="30.95" customHeight="1" spans="1:12">
      <c r="A1" s="2" t="s">
        <v>154</v>
      </c>
      <c r="B1" s="3" t="s">
        <v>1718</v>
      </c>
      <c r="C1" s="3" t="s">
        <v>1719</v>
      </c>
      <c r="D1" s="4" t="s">
        <v>155</v>
      </c>
      <c r="E1" s="4" t="s">
        <v>156</v>
      </c>
      <c r="F1" s="4" t="s">
        <v>3</v>
      </c>
      <c r="G1" s="4" t="s">
        <v>1720</v>
      </c>
      <c r="H1" s="4" t="s">
        <v>4</v>
      </c>
      <c r="I1" s="4" t="s">
        <v>1069</v>
      </c>
      <c r="J1" s="4" t="s">
        <v>351</v>
      </c>
      <c r="K1" s="2" t="s">
        <v>662</v>
      </c>
      <c r="L1" s="5"/>
    </row>
    <row r="2" ht="27" spans="1:12">
      <c r="A2" s="6">
        <v>1</v>
      </c>
      <c r="B2" s="7" t="s">
        <v>166</v>
      </c>
      <c r="C2" s="8" t="s">
        <v>166</v>
      </c>
      <c r="D2" s="8" t="s">
        <v>167</v>
      </c>
      <c r="E2" s="8" t="s">
        <v>1721</v>
      </c>
      <c r="F2" s="9" t="s">
        <v>18</v>
      </c>
      <c r="G2" s="10"/>
      <c r="H2" s="11" t="s">
        <v>1101</v>
      </c>
      <c r="I2" s="8"/>
      <c r="J2" s="8"/>
      <c r="K2" s="12"/>
      <c r="L2" s="13"/>
    </row>
    <row r="3" ht="16.5" spans="1:12">
      <c r="A3" s="6">
        <v>2</v>
      </c>
      <c r="B3" s="7" t="s">
        <v>166</v>
      </c>
      <c r="C3" s="8" t="s">
        <v>166</v>
      </c>
      <c r="D3" s="8" t="s">
        <v>1722</v>
      </c>
      <c r="E3" s="8" t="s">
        <v>1723</v>
      </c>
      <c r="F3" s="9" t="s">
        <v>55</v>
      </c>
      <c r="G3" s="10"/>
      <c r="H3" s="11" t="s">
        <v>1724</v>
      </c>
      <c r="I3" s="8"/>
      <c r="J3" s="8"/>
      <c r="K3" s="12"/>
      <c r="L3" s="13"/>
    </row>
    <row r="4" ht="16.5" spans="1:12">
      <c r="A4" s="6">
        <v>3</v>
      </c>
      <c r="B4" s="7" t="s">
        <v>166</v>
      </c>
      <c r="C4" s="8" t="s">
        <v>166</v>
      </c>
      <c r="D4" s="8" t="s">
        <v>256</v>
      </c>
      <c r="E4" s="8" t="s">
        <v>1725</v>
      </c>
      <c r="F4" s="9" t="s">
        <v>37</v>
      </c>
      <c r="G4" s="10"/>
      <c r="H4" s="11" t="s">
        <v>1726</v>
      </c>
      <c r="I4" s="8"/>
      <c r="J4" s="8"/>
      <c r="K4" s="12"/>
      <c r="L4" s="13"/>
    </row>
    <row r="5" ht="51.95" customHeight="1" spans="1:12">
      <c r="A5" s="6">
        <v>4</v>
      </c>
      <c r="B5" s="7" t="s">
        <v>166</v>
      </c>
      <c r="C5" s="8" t="s">
        <v>166</v>
      </c>
      <c r="D5" s="8" t="s">
        <v>1727</v>
      </c>
      <c r="E5" s="8" t="s">
        <v>1728</v>
      </c>
      <c r="F5" s="9" t="s">
        <v>73</v>
      </c>
      <c r="G5" s="10"/>
      <c r="H5" s="11" t="s">
        <v>1375</v>
      </c>
      <c r="I5" s="8"/>
      <c r="J5" s="8"/>
      <c r="K5" s="12"/>
      <c r="L5" s="13"/>
    </row>
    <row r="6" ht="27" spans="1:12">
      <c r="A6" s="6">
        <v>5</v>
      </c>
      <c r="B6" s="7" t="s">
        <v>166</v>
      </c>
      <c r="C6" s="8" t="s">
        <v>166</v>
      </c>
      <c r="D6" s="8" t="s">
        <v>256</v>
      </c>
      <c r="E6" s="8" t="s">
        <v>1729</v>
      </c>
      <c r="F6" s="9" t="s">
        <v>76</v>
      </c>
      <c r="G6" s="10"/>
      <c r="H6" s="11" t="s">
        <v>1730</v>
      </c>
      <c r="I6" s="8"/>
      <c r="J6" s="8"/>
      <c r="K6" s="12"/>
      <c r="L6" s="13"/>
    </row>
    <row r="7" ht="16.5" spans="1:12">
      <c r="A7" s="6">
        <v>6</v>
      </c>
      <c r="B7" s="7" t="s">
        <v>166</v>
      </c>
      <c r="C7" s="8" t="s">
        <v>166</v>
      </c>
      <c r="D7" s="8" t="s">
        <v>1731</v>
      </c>
      <c r="E7" s="8" t="s">
        <v>1732</v>
      </c>
      <c r="F7" s="9" t="s">
        <v>1733</v>
      </c>
      <c r="G7" s="10"/>
      <c r="H7" s="11" t="s">
        <v>1734</v>
      </c>
      <c r="I7" s="8"/>
      <c r="J7" s="8"/>
      <c r="K7" s="12"/>
      <c r="L7" s="14"/>
    </row>
    <row r="8" ht="27" spans="1:12">
      <c r="A8" s="6">
        <v>7</v>
      </c>
      <c r="B8" s="7" t="s">
        <v>166</v>
      </c>
      <c r="C8" s="8" t="s">
        <v>166</v>
      </c>
      <c r="D8" s="8" t="s">
        <v>167</v>
      </c>
      <c r="E8" s="8" t="s">
        <v>1735</v>
      </c>
      <c r="F8" s="9" t="s">
        <v>1143</v>
      </c>
      <c r="G8" s="10"/>
      <c r="H8" s="11" t="s">
        <v>1736</v>
      </c>
      <c r="I8" s="8"/>
      <c r="J8" s="8"/>
      <c r="K8" s="12"/>
      <c r="L8" s="14" t="s">
        <v>1737</v>
      </c>
    </row>
    <row r="9" ht="16.5" spans="1:12">
      <c r="A9" s="6">
        <v>8</v>
      </c>
      <c r="B9" s="7" t="s">
        <v>166</v>
      </c>
      <c r="C9" s="8" t="s">
        <v>166</v>
      </c>
      <c r="D9" s="8" t="s">
        <v>167</v>
      </c>
      <c r="E9" s="8" t="s">
        <v>1738</v>
      </c>
      <c r="F9" s="9" t="s">
        <v>1143</v>
      </c>
      <c r="G9" s="10"/>
      <c r="H9" s="11" t="s">
        <v>1739</v>
      </c>
      <c r="I9" s="8"/>
      <c r="J9" s="8"/>
      <c r="K9" s="12"/>
      <c r="L9" s="14" t="s">
        <v>1737</v>
      </c>
    </row>
    <row r="10" ht="27" spans="1:12">
      <c r="A10" s="6">
        <v>9</v>
      </c>
      <c r="B10" s="7" t="s">
        <v>166</v>
      </c>
      <c r="C10" s="8" t="s">
        <v>166</v>
      </c>
      <c r="D10" s="8" t="s">
        <v>1740</v>
      </c>
      <c r="E10" s="8"/>
      <c r="F10" s="9" t="s">
        <v>18</v>
      </c>
      <c r="G10" s="10"/>
      <c r="H10" s="11" t="s">
        <v>1741</v>
      </c>
      <c r="I10" s="8"/>
      <c r="J10" s="8"/>
      <c r="K10" s="12"/>
      <c r="L10" s="14" t="s">
        <v>1742</v>
      </c>
    </row>
    <row r="11" ht="27" spans="1:12">
      <c r="A11" s="6">
        <v>10</v>
      </c>
      <c r="B11" s="7" t="s">
        <v>166</v>
      </c>
      <c r="C11" s="8" t="s">
        <v>166</v>
      </c>
      <c r="D11" s="8" t="s">
        <v>1743</v>
      </c>
      <c r="E11" s="8"/>
      <c r="F11" s="9" t="s">
        <v>18</v>
      </c>
      <c r="G11" s="10"/>
      <c r="H11" s="11" t="s">
        <v>1741</v>
      </c>
      <c r="I11" s="8"/>
      <c r="J11" s="8"/>
      <c r="K11" s="12"/>
      <c r="L11" s="14" t="s">
        <v>1742</v>
      </c>
    </row>
    <row r="12" ht="27" spans="1:12">
      <c r="A12" s="6">
        <v>11</v>
      </c>
      <c r="B12" s="7" t="s">
        <v>166</v>
      </c>
      <c r="C12" s="8" t="s">
        <v>166</v>
      </c>
      <c r="D12" s="8" t="s">
        <v>1744</v>
      </c>
      <c r="E12" s="8" t="s">
        <v>1745</v>
      </c>
      <c r="F12" s="9" t="s">
        <v>76</v>
      </c>
      <c r="G12" s="10"/>
      <c r="H12" s="11" t="s">
        <v>1746</v>
      </c>
      <c r="I12" s="8"/>
      <c r="J12" s="8"/>
      <c r="K12" s="12"/>
      <c r="L12" s="13"/>
    </row>
    <row r="13" ht="27" spans="1:12">
      <c r="A13" s="6">
        <v>12</v>
      </c>
      <c r="B13" s="7" t="s">
        <v>166</v>
      </c>
      <c r="C13" s="8" t="s">
        <v>166</v>
      </c>
      <c r="D13" s="8" t="s">
        <v>1747</v>
      </c>
      <c r="E13" s="8" t="s">
        <v>1745</v>
      </c>
      <c r="F13" s="9" t="s">
        <v>76</v>
      </c>
      <c r="G13" s="10"/>
      <c r="H13" s="11" t="s">
        <v>1746</v>
      </c>
      <c r="I13" s="8"/>
      <c r="J13" s="8"/>
      <c r="K13" s="12"/>
      <c r="L13" s="13"/>
    </row>
    <row r="14" ht="27" spans="1:12">
      <c r="A14" s="6">
        <v>13</v>
      </c>
      <c r="B14" s="7" t="s">
        <v>166</v>
      </c>
      <c r="C14" s="8" t="s">
        <v>166</v>
      </c>
      <c r="D14" s="8" t="s">
        <v>1748</v>
      </c>
      <c r="E14" s="8" t="s">
        <v>1748</v>
      </c>
      <c r="F14" s="9" t="s">
        <v>140</v>
      </c>
      <c r="G14" s="10"/>
      <c r="H14" s="11" t="s">
        <v>1749</v>
      </c>
      <c r="I14" s="8"/>
      <c r="J14" s="8"/>
      <c r="K14" s="12"/>
      <c r="L14" s="13"/>
    </row>
    <row r="15" ht="27" spans="1:12">
      <c r="A15" s="6">
        <v>14</v>
      </c>
      <c r="B15" s="7" t="s">
        <v>166</v>
      </c>
      <c r="C15" s="8" t="s">
        <v>166</v>
      </c>
      <c r="D15" s="15" t="s">
        <v>1750</v>
      </c>
      <c r="E15" s="15" t="s">
        <v>1750</v>
      </c>
      <c r="F15" s="9" t="s">
        <v>378</v>
      </c>
      <c r="G15" s="16"/>
      <c r="H15" s="11" t="s">
        <v>1751</v>
      </c>
      <c r="I15" s="16">
        <v>18000</v>
      </c>
      <c r="J15" s="16"/>
      <c r="K15" s="16"/>
      <c r="L15" s="16" t="s">
        <v>1752</v>
      </c>
    </row>
    <row r="16" ht="27" spans="1:12">
      <c r="A16" s="6">
        <v>15</v>
      </c>
      <c r="B16" s="7" t="s">
        <v>166</v>
      </c>
      <c r="C16" s="8" t="s">
        <v>166</v>
      </c>
      <c r="D16" s="7" t="s">
        <v>396</v>
      </c>
      <c r="E16" s="7" t="s">
        <v>397</v>
      </c>
      <c r="F16" s="12" t="s">
        <v>390</v>
      </c>
      <c r="H16" s="17" t="s">
        <v>1692</v>
      </c>
      <c r="I16" s="16"/>
      <c r="J16" s="16"/>
      <c r="K16" s="16"/>
      <c r="L16" s="16" t="s">
        <v>1752</v>
      </c>
    </row>
    <row r="17" ht="16.5" spans="1:12">
      <c r="A17" s="6">
        <v>16</v>
      </c>
      <c r="B17" s="7" t="s">
        <v>17</v>
      </c>
      <c r="C17" s="8" t="s">
        <v>17</v>
      </c>
      <c r="D17" s="8" t="s">
        <v>1753</v>
      </c>
      <c r="E17" s="8"/>
      <c r="F17" s="9" t="s">
        <v>18</v>
      </c>
      <c r="G17" s="10"/>
      <c r="H17" s="11" t="s">
        <v>1754</v>
      </c>
      <c r="I17" s="8"/>
      <c r="J17" s="8"/>
      <c r="K17" s="12"/>
      <c r="L17" s="13"/>
    </row>
    <row r="18" ht="27" customHeight="1" spans="1:12">
      <c r="A18" s="6">
        <v>17</v>
      </c>
      <c r="B18" s="7" t="s">
        <v>17</v>
      </c>
      <c r="C18" s="8" t="s">
        <v>17</v>
      </c>
      <c r="D18" s="8" t="s">
        <v>1755</v>
      </c>
      <c r="E18" s="8"/>
      <c r="F18" s="9" t="s">
        <v>18</v>
      </c>
      <c r="G18" s="10"/>
      <c r="H18" s="11" t="s">
        <v>122</v>
      </c>
      <c r="I18" s="8"/>
      <c r="J18" s="8"/>
      <c r="K18" s="12"/>
      <c r="L18" s="13"/>
    </row>
    <row r="19" ht="16.5" spans="1:12">
      <c r="A19" s="6">
        <v>18</v>
      </c>
      <c r="B19" s="7" t="s">
        <v>17</v>
      </c>
      <c r="C19" s="8" t="s">
        <v>17</v>
      </c>
      <c r="D19" s="8" t="s">
        <v>1756</v>
      </c>
      <c r="E19" s="8"/>
      <c r="F19" s="9" t="s">
        <v>55</v>
      </c>
      <c r="G19" s="10"/>
      <c r="H19" s="11" t="s">
        <v>1757</v>
      </c>
      <c r="I19" s="8"/>
      <c r="J19" s="8"/>
      <c r="K19" s="12"/>
      <c r="L19" s="13"/>
    </row>
    <row r="20" ht="16.5" spans="1:12">
      <c r="A20" s="6">
        <v>19</v>
      </c>
      <c r="B20" s="7" t="s">
        <v>17</v>
      </c>
      <c r="C20" s="8" t="s">
        <v>17</v>
      </c>
      <c r="D20" s="8" t="s">
        <v>1758</v>
      </c>
      <c r="E20" s="8"/>
      <c r="F20" s="9"/>
      <c r="G20" s="10"/>
      <c r="H20" s="11" t="s">
        <v>1759</v>
      </c>
      <c r="I20" s="8"/>
      <c r="J20" s="8"/>
      <c r="K20" s="12"/>
      <c r="L20" s="13"/>
    </row>
    <row r="21" ht="16.5" spans="1:12">
      <c r="A21" s="6">
        <v>20</v>
      </c>
      <c r="B21" s="7" t="s">
        <v>17</v>
      </c>
      <c r="C21" s="8" t="s">
        <v>17</v>
      </c>
      <c r="D21" s="8" t="s">
        <v>1760</v>
      </c>
      <c r="E21" s="8"/>
      <c r="F21" s="9" t="s">
        <v>55</v>
      </c>
      <c r="G21" s="10"/>
      <c r="H21" s="11" t="s">
        <v>1759</v>
      </c>
      <c r="I21" s="8"/>
      <c r="J21" s="8"/>
      <c r="K21" s="12"/>
      <c r="L21" s="13"/>
    </row>
    <row r="22" ht="16.5" spans="1:12">
      <c r="A22" s="6">
        <v>21</v>
      </c>
      <c r="B22" s="7" t="s">
        <v>17</v>
      </c>
      <c r="C22" s="8" t="s">
        <v>17</v>
      </c>
      <c r="D22" s="8" t="s">
        <v>1761</v>
      </c>
      <c r="E22" s="8"/>
      <c r="F22" s="9" t="s">
        <v>73</v>
      </c>
      <c r="G22" s="10"/>
      <c r="H22" s="11" t="s">
        <v>1762</v>
      </c>
      <c r="I22" s="8"/>
      <c r="J22" s="8"/>
      <c r="K22" s="12"/>
      <c r="L22" s="13"/>
    </row>
    <row r="23" ht="16.5" spans="1:12">
      <c r="A23" s="6">
        <v>22</v>
      </c>
      <c r="B23" s="7" t="s">
        <v>17</v>
      </c>
      <c r="C23" s="8" t="s">
        <v>17</v>
      </c>
      <c r="D23" s="8" t="s">
        <v>1763</v>
      </c>
      <c r="E23" s="8" t="s">
        <v>1764</v>
      </c>
      <c r="F23" s="9" t="s">
        <v>76</v>
      </c>
      <c r="G23" s="10"/>
      <c r="H23" s="11" t="s">
        <v>1765</v>
      </c>
      <c r="I23" s="8"/>
      <c r="J23" s="8"/>
      <c r="K23" s="12"/>
      <c r="L23" s="13"/>
    </row>
    <row r="24" ht="16.5" spans="1:12">
      <c r="A24" s="6">
        <v>23</v>
      </c>
      <c r="B24" s="7" t="s">
        <v>17</v>
      </c>
      <c r="C24" s="8" t="s">
        <v>17</v>
      </c>
      <c r="D24" s="8" t="s">
        <v>1763</v>
      </c>
      <c r="E24" s="8" t="s">
        <v>1766</v>
      </c>
      <c r="F24" s="9" t="s">
        <v>76</v>
      </c>
      <c r="G24" s="10"/>
      <c r="H24" s="11" t="s">
        <v>1767</v>
      </c>
      <c r="I24" s="8"/>
      <c r="J24" s="8"/>
      <c r="K24" s="12"/>
      <c r="L24" s="13"/>
    </row>
    <row r="25" ht="16.5" spans="1:12">
      <c r="A25" s="6">
        <v>24</v>
      </c>
      <c r="B25" s="7" t="s">
        <v>17</v>
      </c>
      <c r="C25" s="8" t="s">
        <v>17</v>
      </c>
      <c r="D25" s="8" t="s">
        <v>1763</v>
      </c>
      <c r="E25" s="8" t="s">
        <v>1768</v>
      </c>
      <c r="F25" s="9" t="s">
        <v>76</v>
      </c>
      <c r="G25" s="10"/>
      <c r="H25" s="11" t="s">
        <v>1769</v>
      </c>
      <c r="I25" s="8"/>
      <c r="J25" s="8"/>
      <c r="K25" s="12"/>
      <c r="L25" s="13"/>
    </row>
    <row r="26" ht="16.5" spans="1:12">
      <c r="A26" s="6">
        <v>25</v>
      </c>
      <c r="B26" s="7" t="s">
        <v>17</v>
      </c>
      <c r="C26" s="8" t="s">
        <v>17</v>
      </c>
      <c r="D26" s="8" t="s">
        <v>1770</v>
      </c>
      <c r="E26" s="8" t="s">
        <v>1771</v>
      </c>
      <c r="F26" s="9" t="s">
        <v>76</v>
      </c>
      <c r="G26" s="10"/>
      <c r="H26" s="11" t="s">
        <v>1772</v>
      </c>
      <c r="I26" s="8"/>
      <c r="J26" s="8"/>
      <c r="K26" s="12"/>
      <c r="L26" s="13"/>
    </row>
    <row r="27" ht="16.5" spans="1:12">
      <c r="A27" s="6">
        <v>26</v>
      </c>
      <c r="B27" s="7" t="s">
        <v>17</v>
      </c>
      <c r="C27" s="8" t="s">
        <v>17</v>
      </c>
      <c r="D27" s="8" t="s">
        <v>1770</v>
      </c>
      <c r="E27" s="8" t="s">
        <v>1773</v>
      </c>
      <c r="F27" s="9" t="s">
        <v>76</v>
      </c>
      <c r="G27" s="10"/>
      <c r="H27" s="11" t="s">
        <v>1774</v>
      </c>
      <c r="I27" s="8"/>
      <c r="J27" s="8"/>
      <c r="K27" s="12"/>
      <c r="L27" s="13"/>
    </row>
    <row r="28" ht="16.5" spans="1:12">
      <c r="A28" s="6">
        <v>27</v>
      </c>
      <c r="B28" s="7" t="s">
        <v>17</v>
      </c>
      <c r="C28" s="8" t="s">
        <v>17</v>
      </c>
      <c r="D28" s="8" t="s">
        <v>1775</v>
      </c>
      <c r="E28" s="8"/>
      <c r="F28" s="9" t="s">
        <v>76</v>
      </c>
      <c r="G28" s="10"/>
      <c r="H28" s="11" t="s">
        <v>1776</v>
      </c>
      <c r="I28" s="8"/>
      <c r="J28" s="8"/>
      <c r="K28" s="12"/>
      <c r="L28" s="13"/>
    </row>
    <row r="29" ht="16.5" spans="1:12">
      <c r="A29" s="6">
        <v>28</v>
      </c>
      <c r="B29" s="7" t="s">
        <v>1777</v>
      </c>
      <c r="C29" s="8" t="s">
        <v>1778</v>
      </c>
      <c r="D29" s="8" t="s">
        <v>1779</v>
      </c>
      <c r="E29" s="8"/>
      <c r="F29" s="9" t="s">
        <v>140</v>
      </c>
      <c r="G29" s="10"/>
      <c r="H29" s="11" t="s">
        <v>1780</v>
      </c>
      <c r="I29" s="8"/>
      <c r="J29" s="8"/>
      <c r="K29" s="12"/>
      <c r="L29" s="13"/>
    </row>
  </sheetData>
  <autoFilter xmlns:etc="http://www.wps.cn/officeDocument/2017/etCustomData" ref="A1:L29"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配套模块</vt:lpstr>
      <vt:lpstr>电力施工服务模块（汇总版） </vt:lpstr>
      <vt:lpstr>土建+杆塔</vt:lpstr>
      <vt:lpstr>土建+杆塔模块优化及预算-过程</vt:lpstr>
      <vt:lpstr>现有电力+配套模块优化建议</vt:lpstr>
      <vt:lpstr>建议新增模块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亻青</cp:lastModifiedBy>
  <dcterms:created xsi:type="dcterms:W3CDTF">2023-06-15T08:43:00Z</dcterms:created>
  <dcterms:modified xsi:type="dcterms:W3CDTF">2026-03-12T06:23:33Z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2743BFDD693E4F1B9A0DDF8233335A70_13</vt:lpwstr>
  </property>
  <property fmtid="{D5CDD505-2E9C-101B-9397-08002B2CF9AE}" pid="4" name="KSOReadingLayout">
    <vt:bool>true</vt:bool>
  </property>
  <property fmtid="{D5CDD505-2E9C-101B-9397-08002B2CF9AE}" pid="5" name="CalculationRule">
    <vt:i4>0</vt:i4>
  </property>
</Properties>
</file>